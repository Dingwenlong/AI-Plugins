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7FF604E3-C8C9-4542-A1EC-6952C807DAC3}" xr6:coauthVersionLast="36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<sst xmlns="http://schemas.openxmlformats.org/spreadsheetml/2006/main" count="176" uniqueCount="133">
  <si>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</si>
  <si>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</si>
  <si>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</si>
  <si>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</si>
  <si>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</si>
  <si>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</si>
  <si>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</si>
  <si>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</si>
  <si>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</si>
  <si>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楊士宏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</si>
  <si>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</si>
  <si>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</si>
  <si>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EL0001</t>
  </si>
  <si>
    <t>Description</t>
    <phoneticPr fontId="3" type="noConversion"/>
  </si>
  <si>
    <t>彈性繳款明細查詢</t>
    <phoneticPr fontId="3" type="noConversion"/>
  </si>
  <si>
    <t>URL</t>
  </si>
  <si>
    <t>Header</t>
    <phoneticPr fontId="3" type="noConversion"/>
  </si>
  <si>
    <t>page_size: 每頁筆數
page_start: 從第幾頁開始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</si>
  <si>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</si>
  <si>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</si>
  <si>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</si>
  <si>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</si>
  <si>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</si>
  <si>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TMB.LN.FLEX.DATA.DETAIL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</si>
  <si>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</si>
  <si>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</si>
  <si>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</si>
  <si>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</si>
  <si>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</si>
  <si>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MNEMONIC</t>
  </si>
  <si>
    <t>EnqMnemonic</t>
  </si>
  <si>
    <t>EQ</t>
    <phoneticPr fontId="3" type="noConversion"/>
  </si>
  <si>
    <t>LN.MAIN.AC.NO</t>
  </si>
  <si>
    <t>EnqLnMainAcNo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</si>
  <si>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</si>
  <si>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</si>
  <si>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</si>
  <si>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</si>
  <si>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</si>
  <si>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  <phoneticPr fontId="3" type="noConversion"/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</si>
  <si>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</si>
  <si>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</si>
  <si>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</si>
  <si>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</si>
  <si>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</si>
  <si>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</si>
  <si>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</si>
  <si>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</si>
  <si>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T.LN.ALT.NO</t>
    <phoneticPr fontId="3" type="noConversion"/>
  </si>
  <si>
    <t>EnqTLnAltNo</t>
  </si>
  <si>
    <t>20L</t>
    <phoneticPr fontId="3" type="noConversion"/>
  </si>
  <si>
    <t>放款帳分號</t>
    <phoneticPr fontId="3" type="noConversion"/>
  </si>
  <si>
    <t>Loan account sequency number</t>
    <phoneticPr fontId="3" type="noConversion"/>
  </si>
  <si>
    <t>T.LN.START.DATE</t>
    <phoneticPr fontId="3" type="noConversion"/>
  </si>
  <si>
    <t>EnqTLnStartDate</t>
  </si>
  <si>
    <t>8R</t>
    <phoneticPr fontId="3" type="noConversion"/>
  </si>
  <si>
    <t>放款起日</t>
    <phoneticPr fontId="3" type="noConversion"/>
  </si>
  <si>
    <t>LD start date</t>
    <phoneticPr fontId="3" type="noConversion"/>
  </si>
  <si>
    <t>T.LN.END.DATE</t>
    <phoneticPr fontId="3" type="noConversion"/>
  </si>
  <si>
    <t>EnqTLnEndDate</t>
  </si>
  <si>
    <t>到期日</t>
    <phoneticPr fontId="3" type="noConversion"/>
  </si>
  <si>
    <t>Expiry date</t>
    <phoneticPr fontId="3" type="noConversion"/>
  </si>
  <si>
    <t>T.ORIG.AMOUNT</t>
    <phoneticPr fontId="3" type="noConversion"/>
  </si>
  <si>
    <t>EnqTOrigAmount</t>
  </si>
  <si>
    <t>19L</t>
    <phoneticPr fontId="3" type="noConversion"/>
  </si>
  <si>
    <t>原始撥款金額</t>
    <phoneticPr fontId="3" type="noConversion"/>
  </si>
  <si>
    <t>Drawdown amount</t>
    <phoneticPr fontId="3" type="noConversion"/>
  </si>
  <si>
    <t>LD.AMOUNT</t>
    <phoneticPr fontId="3" type="noConversion"/>
  </si>
  <si>
    <t>EnqLdAmount</t>
  </si>
  <si>
    <t>19R</t>
    <phoneticPr fontId="3" type="noConversion"/>
  </si>
  <si>
    <t xml:space="preserve">放款餘額	</t>
    <phoneticPr fontId="3" type="noConversion"/>
  </si>
  <si>
    <t>LD amount</t>
    <phoneticPr fontId="3" type="noConversion"/>
  </si>
  <si>
    <t>T.RPYSCH.DD</t>
    <phoneticPr fontId="3" type="noConversion"/>
  </si>
  <si>
    <t>EnqTRpyschDd</t>
  </si>
  <si>
    <t>2L</t>
    <phoneticPr fontId="3" type="noConversion"/>
  </si>
  <si>
    <t>繳款相對日</t>
    <phoneticPr fontId="3" type="noConversion"/>
  </si>
  <si>
    <t>Loan repayment schedule date</t>
    <phoneticPr fontId="3" type="noConversion"/>
  </si>
  <si>
    <t>T.LN.INSTAL.AMT</t>
    <phoneticPr fontId="3" type="noConversion"/>
  </si>
  <si>
    <t>EnqTLnInstalAmt</t>
  </si>
  <si>
    <t xml:space="preserve">月付金	</t>
    <phoneticPr fontId="3" type="noConversion"/>
  </si>
  <si>
    <t>Instalment amount</t>
    <phoneticPr fontId="3" type="noConversion"/>
  </si>
  <si>
    <t>FLEX.INSTAMT</t>
    <phoneticPr fontId="3" type="noConversion"/>
  </si>
  <si>
    <t>EnqFlexInstamt</t>
  </si>
  <si>
    <t>10L</t>
    <phoneticPr fontId="3" type="noConversion"/>
  </si>
  <si>
    <t>彈性繳款月付金</t>
  </si>
  <si>
    <t>Flexibly payment amount</t>
    <phoneticPr fontId="3" type="noConversion"/>
  </si>
  <si>
    <t>FLEX.TERM</t>
    <phoneticPr fontId="3" type="noConversion"/>
  </si>
  <si>
    <t>EnqFlexTerm</t>
  </si>
  <si>
    <t>4L</t>
    <phoneticPr fontId="3" type="noConversion"/>
  </si>
  <si>
    <t>彈性繳款期數</t>
    <phoneticPr fontId="3" type="noConversion"/>
  </si>
  <si>
    <t>Flexibly payment term</t>
    <phoneticPr fontId="3" type="noConversion"/>
  </si>
  <si>
    <t>FLEX.PAID.TERM</t>
    <phoneticPr fontId="3" type="noConversion"/>
  </si>
  <si>
    <t>EnqFlexPaidTerm</t>
  </si>
  <si>
    <t>彈性繳款已繳期數</t>
    <phoneticPr fontId="3" type="noConversion"/>
  </si>
  <si>
    <t>Flexibly repayment term</t>
    <phoneticPr fontId="3" type="noConversion"/>
  </si>
  <si>
    <t>FLEX.EDT</t>
    <phoneticPr fontId="3" type="noConversion"/>
  </si>
  <si>
    <t>EnqFlexEdt</t>
  </si>
  <si>
    <t>彈性繳款止日</t>
  </si>
  <si>
    <t>Flexibly payment end date</t>
    <phoneticPr fontId="3" type="noConversion"/>
  </si>
  <si>
    <t>INT.UNPAID.TERM</t>
    <phoneticPr fontId="3" type="noConversion"/>
  </si>
  <si>
    <t>EnqIntUnpaidTerm</t>
  </si>
  <si>
    <t>3L</t>
    <phoneticPr fontId="3" type="noConversion"/>
  </si>
  <si>
    <t>月付金剩餘期數</t>
    <phoneticPr fontId="3" type="noConversion"/>
  </si>
  <si>
    <t>Instalment remaining term</t>
    <phoneticPr fontId="3" type="noConversion"/>
  </si>
  <si>
    <t>NEXT.RPY.DT</t>
    <phoneticPr fontId="3" type="noConversion"/>
  </si>
  <si>
    <t>EnqNextRpyDt</t>
  </si>
  <si>
    <t>指定繳息日</t>
    <phoneticPr fontId="3" type="noConversion"/>
  </si>
  <si>
    <t>Next repayment schedule date</t>
    <phoneticPr fontId="3" type="noConversion"/>
  </si>
  <si>
    <t>NEW.INSTAMT</t>
    <phoneticPr fontId="3" type="noConversion"/>
  </si>
  <si>
    <t>EnqNewInstamt</t>
  </si>
  <si>
    <t>終止彈性繳款後之月付金</t>
    <phoneticPr fontId="3" type="noConversion"/>
  </si>
  <si>
    <t>The new instalment amount after termination flexible payment</t>
    <phoneticPr fontId="3" type="noConversion"/>
  </si>
  <si>
    <t>CAL.TENOR.MM</t>
    <phoneticPr fontId="3" type="noConversion"/>
  </si>
  <si>
    <t>EnqCalTenorMm</t>
  </si>
  <si>
    <t>3R</t>
    <phoneticPr fontId="3" type="noConversion"/>
  </si>
  <si>
    <t>月付金計算期數</t>
    <phoneticPr fontId="3" type="noConversion"/>
  </si>
  <si>
    <t>Total loan tenor for instalment calculation</t>
    <phoneticPr fontId="3" type="noConversion"/>
  </si>
  <si>
    <t>T.KPI.BR</t>
    <phoneticPr fontId="3" type="noConversion"/>
  </si>
  <si>
    <t>EnqTKpiBr</t>
  </si>
  <si>
    <t>6L</t>
    <phoneticPr fontId="3" type="noConversion"/>
  </si>
  <si>
    <t>績效行</t>
    <phoneticPr fontId="3" type="noConversion"/>
  </si>
  <si>
    <t>KPI branch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</si>
  <si>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</si>
  <si>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</si>
  <si>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</si>
  <si>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</si>
  <si>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</si>
  <si>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</si>
  <si>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</si>
  <si>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EnqMnemonic: A1524027130</t>
  </si>
  <si>
    <t>{
  "header": {
    "audit": {
      "T24_time": 171,
      "parse_time": 1
    },
    "page_start": 1,
    "page_token": "5963742681.01,99",
    "total_size": 1,
    "page_size": 99,
    "status": "success"
  },
  "body": [
    {
      "EnqFlexInstamt": "8000",
      "EnqIntUnpaidTerm": "0",
      "EnqFlexTerm": "24",
      "EnqFlexEdt": "20200213",
      "EnqFlexPaidTerm": "0"
    }
  ]
}</t>
    <phoneticPr fontId="3" type="noConversion"/>
  </si>
  <si>
    <t>EnqLnMainAcNo: 14705500010071</t>
    <phoneticPr fontId="3" type="noConversion"/>
  </si>
  <si>
    <t>{
  "header": {
    "audit": {
      "T24_time": 91,
      "parse_time": 1
    },
    "page_start": 1,
    "page_token": "6149253602.01,99",
    "total_size": 2,
    "page_size": 99,
    "status": "success"
  },
  "body": [
    {
      "EnqNewInstamt": "43950",
      "EnqTLnAltNo": "14705500010071360001",
      "EnqTLnStartDate": "20170105",
      "EnqNextRpyDt": "20190805",
      "EnqIntUnpaidTerm": "174",
      "EnqFlexEdt": "20210105",
      "EnqFlexPaidTerm": "6",
      "EnqTOrigAmount": "6700000",
      "EnqTLnEndDate": "20340105",
      "EnqTRpyschDd": "05",
      "EnqLdAmount": "6698190",
      "EnqFlexInstamt": "10600",
      "EnqTKpiBr": "BR0147",
      "EnqTLnInstalAmt": "43950",
      "EnqFlexTerm": "24",
      "EnqCalTenorMm": "204"
    },
    {
      "EnqNewInstamt": "14991",
      "EnqTLnAltNo": "14705500010071360002",
      "EnqTLnStartDate": "20170105",
      "EnqNextRpyDt": "20190805",
      "EnqIntUnpaidTerm": "174",
      "EnqFlexEdt": "20210105",
      "EnqFlexPaidTerm": "6",
      "EnqTOrigAmount": "2290000",
      "EnqTLnEndDate": "20340105",
      "EnqTRpyschDd": "05",
      "EnqLdAmount": "2284702",
      "EnqFlexInstamt": "4400",
      "EnqTKpiBr": "BR0147",
      "EnqTLnInstalAmt": "14991",
      "EnqFlexTerm": "24",
      "EnqCalTenorMm": "204"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</si>
</sst>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0" fillId="0" borderId="0" xfId="0" quotePrefix="1" applyFont="1"/>
    <xf numFmtId="0" fontId="14" fillId="0" borderId="6" xfId="0" applyFont="1" applyBorder="1"/>
    <xf numFmtId="0" fontId="18" fillId="4" borderId="11" xfId="0" applyFont="1" applyFill="1" applyBorder="1" applyAlignment="1">
      <alignment horizontal="left"/>
    </xf>
    <xf numFmtId="0" fontId="14" fillId="0" borderId="0" xfId="0" quotePrefix="1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D5" sqref="D5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0" t="s">
        <v>0</v>
      </c>
      <c r="B1" s="41"/>
      <c r="C1" s="41"/>
      <c r="D1" s="41"/>
      <c r="E1" s="41"/>
    </row>
    <row r="2" spans="1:5" ht="20.100000000000001" customHeight="1" thickBot="1">
      <c r="A2" s="39" t="s">
        <v>1</v>
      </c>
      <c r="B2" s="42"/>
      <c r="C2" s="42"/>
      <c r="D2" s="42"/>
      <c r="E2" s="43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44827</v>
      </c>
      <c r="C4" s="5" t="s">
        <v>8</v>
      </c>
      <c r="D4" s="33" t="s">
        <v>9</v>
      </c>
      <c r="E4" s="4" t="s">
        <v>10</v>
      </c>
    </row>
    <row r="5" spans="1:5" ht="16.5" thickBot="1">
      <c r="A5" s="3"/>
      <c r="B5" s="6"/>
      <c r="C5" s="5"/>
      <c r="D5" s="3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57"/>
  <sheetViews>
    <sheetView zoomScaleNormal="100" workbookViewId="0" xr3:uid="{958C4451-9541-5A59-BF78-D2F731DF1C81}">
      <selection activeCell="E4" sqref="E4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53.5703125" style="12" customWidth="1"/>
    <col min="4" max="4" width="18.5703125" style="12" customWidth="1"/>
    <col min="5" max="5" width="20.5703125" style="12" customWidth="1"/>
    <col min="6" max="6" width="26.28515625" style="12" customWidth="1"/>
    <col min="7" max="7" width="29" style="12" bestFit="1" customWidth="1"/>
    <col min="8" max="8" width="55.5703125" style="12" bestFit="1" customWidth="1"/>
    <col min="9" max="16384" width="8.85546875" style="12"/>
  </cols>
  <sheetData>
    <row r="1" spans="1:8">
      <c r="B1" s="10" t="s">
        <v>11</v>
      </c>
      <c r="C1" s="11" t="s">
        <v>12</v>
      </c>
    </row>
    <row r="2" spans="1:8">
      <c r="B2" s="10" t="s">
        <v>13</v>
      </c>
      <c r="C2" s="36" t="s">
        <v>14</v>
      </c>
    </row>
    <row r="3" spans="1:8">
      <c r="B3" s="10" t="s">
        <v>15</v>
      </c>
      <c r="C3" s="11" t="str">
        <f>+"/api/v1.0.0/party/"&amp;C1</f>
        <v>/api/v1.0.0/party/EL0001</v>
      </c>
    </row>
    <row r="4" spans="1:8" ht="60">
      <c r="B4" s="10" t="s">
        <v>16</v>
      </c>
      <c r="C4" s="13" t="s">
        <v>17</v>
      </c>
    </row>
    <row r="5" spans="1:8">
      <c r="B5" s="10" t="s">
        <v>18</v>
      </c>
      <c r="C5" s="11" t="s">
        <v>19</v>
      </c>
    </row>
    <row r="6" spans="1:8">
      <c r="B6" s="10" t="s">
        <v>20</v>
      </c>
      <c r="C6" s="11" t="s">
        <v>21</v>
      </c>
    </row>
    <row r="7" spans="1:8">
      <c r="B7" s="10" t="s">
        <v>22</v>
      </c>
      <c r="C7" s="11" t="s">
        <v>23</v>
      </c>
    </row>
    <row r="8" spans="1:8">
      <c r="B8" s="10" t="s">
        <v>24</v>
      </c>
      <c r="C8" s="11" t="str">
        <f>+"ENQ.API."&amp;$C$1&amp;".1.0.0"</f>
        <v>ENQ.API.EL0001.1.0.0</v>
      </c>
    </row>
    <row r="9" spans="1:8">
      <c r="B9" s="12"/>
    </row>
    <row r="10" spans="1:8">
      <c r="B10" s="12"/>
    </row>
    <row r="11" spans="1:8">
      <c r="B11" s="10" t="s">
        <v>25</v>
      </c>
      <c r="C11" s="14" t="s">
        <v>26</v>
      </c>
      <c r="D11" s="10" t="s">
        <v>27</v>
      </c>
      <c r="E11" s="15" t="s">
        <v>28</v>
      </c>
    </row>
    <row r="12" spans="1:8">
      <c r="B12" s="16" t="s">
        <v>29</v>
      </c>
      <c r="C12" s="17" t="s">
        <v>30</v>
      </c>
      <c r="D12" s="11" t="s">
        <v>31</v>
      </c>
      <c r="E12" s="11"/>
    </row>
    <row r="13" spans="1:8">
      <c r="B13" s="11" t="s">
        <v>32</v>
      </c>
      <c r="C13" s="11" t="s">
        <v>33</v>
      </c>
      <c r="D13" s="17" t="s">
        <v>31</v>
      </c>
      <c r="E13" s="11"/>
    </row>
    <row r="14" spans="1:8">
      <c r="A14" s="19"/>
      <c r="B14" s="18"/>
      <c r="C14" s="19"/>
      <c r="D14" s="18"/>
      <c r="E14" s="18"/>
      <c r="F14" s="18"/>
    </row>
    <row r="15" spans="1:8" s="22" customFormat="1">
      <c r="A15" s="20" t="s">
        <v>34</v>
      </c>
      <c r="B15" s="20" t="s">
        <v>35</v>
      </c>
      <c r="C15" s="20" t="s">
        <v>36</v>
      </c>
      <c r="D15" s="21" t="s">
        <v>37</v>
      </c>
      <c r="E15" s="20" t="s">
        <v>38</v>
      </c>
      <c r="F15" s="20" t="s">
        <v>39</v>
      </c>
      <c r="G15" s="20" t="s">
        <v>40</v>
      </c>
      <c r="H15" s="20" t="s">
        <v>40</v>
      </c>
    </row>
    <row r="16" spans="1:8" s="22" customFormat="1">
      <c r="A16" s="34"/>
      <c r="B16" s="37" t="s">
        <v>41</v>
      </c>
      <c r="C16" s="37" t="s">
        <v>42</v>
      </c>
      <c r="D16" s="37" t="s">
        <v>43</v>
      </c>
      <c r="E16" s="37" t="s">
        <v>44</v>
      </c>
      <c r="F16" s="37" t="s">
        <v>45</v>
      </c>
      <c r="G16" s="37" t="s">
        <v>46</v>
      </c>
      <c r="H16" s="37" t="s">
        <v>47</v>
      </c>
    </row>
    <row r="17" spans="1:8">
      <c r="A17" s="12">
        <v>1</v>
      </c>
      <c r="B17" s="35" t="s">
        <v>48</v>
      </c>
      <c r="C17" s="35" t="s">
        <v>49</v>
      </c>
      <c r="F17" s="12" t="s">
        <v>50</v>
      </c>
      <c r="G17" s="38" t="s">
        <v>51</v>
      </c>
      <c r="H17" s="35" t="s">
        <v>52</v>
      </c>
    </row>
    <row r="18" spans="1:8">
      <c r="A18" s="12">
        <v>2</v>
      </c>
      <c r="B18" s="35" t="s">
        <v>53</v>
      </c>
      <c r="C18" s="35" t="s">
        <v>54</v>
      </c>
      <c r="F18" s="12" t="s">
        <v>55</v>
      </c>
      <c r="G18" s="38" t="s">
        <v>56</v>
      </c>
      <c r="H18" s="35" t="s">
        <v>57</v>
      </c>
    </row>
    <row r="19" spans="1:8">
      <c r="A19" s="12">
        <v>3</v>
      </c>
      <c r="B19" s="35" t="s">
        <v>58</v>
      </c>
      <c r="C19" s="35" t="s">
        <v>59</v>
      </c>
      <c r="F19" s="12" t="s">
        <v>55</v>
      </c>
      <c r="G19" s="38" t="s">
        <v>60</v>
      </c>
      <c r="H19" s="12" t="s">
        <v>61</v>
      </c>
    </row>
    <row r="20" spans="1:8">
      <c r="A20" s="12">
        <v>4</v>
      </c>
      <c r="B20" s="35" t="s">
        <v>62</v>
      </c>
      <c r="C20" s="35" t="s">
        <v>63</v>
      </c>
      <c r="F20" s="12" t="s">
        <v>64</v>
      </c>
      <c r="G20" s="38" t="s">
        <v>65</v>
      </c>
      <c r="H20" s="35" t="s">
        <v>66</v>
      </c>
    </row>
    <row r="21" spans="1:8">
      <c r="A21" s="12">
        <v>5</v>
      </c>
      <c r="B21" s="35" t="s">
        <v>67</v>
      </c>
      <c r="C21" s="35" t="s">
        <v>68</v>
      </c>
      <c r="F21" s="12" t="s">
        <v>69</v>
      </c>
      <c r="G21" s="38" t="s">
        <v>70</v>
      </c>
      <c r="H21" s="35" t="s">
        <v>71</v>
      </c>
    </row>
    <row r="22" spans="1:8">
      <c r="A22" s="12">
        <v>6</v>
      </c>
      <c r="B22" s="35" t="s">
        <v>72</v>
      </c>
      <c r="C22" s="35" t="s">
        <v>73</v>
      </c>
      <c r="F22" s="12" t="s">
        <v>74</v>
      </c>
      <c r="G22" s="38" t="s">
        <v>75</v>
      </c>
      <c r="H22" s="35" t="s">
        <v>76</v>
      </c>
    </row>
    <row r="23" spans="1:8">
      <c r="A23" s="12">
        <v>7</v>
      </c>
      <c r="B23" s="35" t="s">
        <v>77</v>
      </c>
      <c r="C23" s="35" t="s">
        <v>78</v>
      </c>
      <c r="F23" s="12" t="s">
        <v>64</v>
      </c>
      <c r="G23" s="38" t="s">
        <v>79</v>
      </c>
      <c r="H23" s="35" t="s">
        <v>80</v>
      </c>
    </row>
    <row r="24" spans="1:8">
      <c r="A24" s="12">
        <v>8</v>
      </c>
      <c r="B24" s="35" t="s">
        <v>81</v>
      </c>
      <c r="C24" s="35" t="s">
        <v>82</v>
      </c>
      <c r="F24" s="12" t="s">
        <v>83</v>
      </c>
      <c r="G24" s="38" t="s">
        <v>84</v>
      </c>
      <c r="H24" s="12" t="s">
        <v>85</v>
      </c>
    </row>
    <row r="25" spans="1:8">
      <c r="A25" s="12">
        <v>9</v>
      </c>
      <c r="B25" s="35" t="s">
        <v>86</v>
      </c>
      <c r="C25" s="35" t="s">
        <v>87</v>
      </c>
      <c r="F25" s="12" t="s">
        <v>88</v>
      </c>
      <c r="G25" s="38" t="s">
        <v>89</v>
      </c>
      <c r="H25" s="12" t="s">
        <v>90</v>
      </c>
    </row>
    <row r="26" spans="1:8">
      <c r="A26" s="12">
        <v>10</v>
      </c>
      <c r="B26" s="35" t="s">
        <v>91</v>
      </c>
      <c r="C26" s="35" t="s">
        <v>92</v>
      </c>
      <c r="F26" s="12" t="s">
        <v>50</v>
      </c>
      <c r="G26" s="38" t="s">
        <v>93</v>
      </c>
      <c r="H26" s="12" t="s">
        <v>94</v>
      </c>
    </row>
    <row r="27" spans="1:8">
      <c r="A27" s="12">
        <v>11</v>
      </c>
      <c r="B27" s="35" t="s">
        <v>95</v>
      </c>
      <c r="C27" s="35" t="s">
        <v>96</v>
      </c>
      <c r="F27" s="12" t="s">
        <v>55</v>
      </c>
      <c r="G27" s="38" t="s">
        <v>97</v>
      </c>
      <c r="H27" s="35" t="s">
        <v>98</v>
      </c>
    </row>
    <row r="28" spans="1:8">
      <c r="A28" s="12">
        <v>12</v>
      </c>
      <c r="B28" s="35" t="s">
        <v>99</v>
      </c>
      <c r="C28" s="35" t="s">
        <v>100</v>
      </c>
      <c r="F28" s="12" t="s">
        <v>101</v>
      </c>
      <c r="G28" s="38" t="s">
        <v>102</v>
      </c>
      <c r="H28" s="35" t="s">
        <v>103</v>
      </c>
    </row>
    <row r="29" spans="1:8">
      <c r="A29" s="12">
        <v>13</v>
      </c>
      <c r="B29" s="35" t="s">
        <v>104</v>
      </c>
      <c r="C29" s="35" t="s">
        <v>105</v>
      </c>
      <c r="F29" s="12" t="s">
        <v>55</v>
      </c>
      <c r="G29" s="38" t="s">
        <v>106</v>
      </c>
      <c r="H29" s="12" t="s">
        <v>107</v>
      </c>
    </row>
    <row r="30" spans="1:8">
      <c r="A30" s="12">
        <v>14</v>
      </c>
      <c r="B30" s="35" t="s">
        <v>108</v>
      </c>
      <c r="C30" s="35" t="s">
        <v>109</v>
      </c>
      <c r="F30" s="12" t="s">
        <v>64</v>
      </c>
      <c r="G30" s="38" t="s">
        <v>110</v>
      </c>
      <c r="H30" s="35" t="s">
        <v>111</v>
      </c>
    </row>
    <row r="31" spans="1:8">
      <c r="A31" s="12">
        <v>15</v>
      </c>
      <c r="B31" s="35" t="s">
        <v>112</v>
      </c>
      <c r="C31" s="35" t="s">
        <v>113</v>
      </c>
      <c r="F31" s="12" t="s">
        <v>114</v>
      </c>
      <c r="G31" s="38" t="s">
        <v>115</v>
      </c>
      <c r="H31" s="35" t="s">
        <v>116</v>
      </c>
    </row>
    <row r="32" spans="1:8">
      <c r="A32" s="12">
        <v>16</v>
      </c>
      <c r="B32" s="35" t="s">
        <v>117</v>
      </c>
      <c r="C32" s="35" t="s">
        <v>118</v>
      </c>
      <c r="F32" s="12" t="s">
        <v>119</v>
      </c>
      <c r="G32" s="38" t="s">
        <v>120</v>
      </c>
      <c r="H32" s="35" t="s">
        <v>121</v>
      </c>
    </row>
    <row r="33" spans="1:8">
      <c r="A33" s="12"/>
      <c r="B33" s="35"/>
      <c r="C33" s="35"/>
    </row>
    <row r="34" spans="1:8">
      <c r="A34" s="12"/>
      <c r="B34" s="35"/>
      <c r="C34" s="35"/>
      <c r="G34" s="35"/>
      <c r="H34" s="35"/>
    </row>
    <row r="35" spans="1:8" ht="14.45" customHeight="1">
      <c r="A35" s="12"/>
      <c r="B35" s="35"/>
      <c r="C35" s="35"/>
      <c r="G35" s="35"/>
      <c r="H35" s="35"/>
    </row>
    <row r="36" spans="1:8">
      <c r="A36" s="12"/>
      <c r="B36" s="35"/>
      <c r="C36" s="35"/>
      <c r="G36" s="35"/>
      <c r="H36" s="35"/>
    </row>
    <row r="37" spans="1:8">
      <c r="A37" s="12"/>
      <c r="B37" s="35"/>
      <c r="C37" s="35"/>
      <c r="G37" s="35"/>
      <c r="H37" s="35"/>
    </row>
    <row r="38" spans="1:8">
      <c r="A38" s="12"/>
      <c r="B38" s="35"/>
      <c r="C38" s="35"/>
      <c r="G38" s="35"/>
      <c r="H38" s="35"/>
    </row>
    <row r="39" spans="1:8">
      <c r="A39" s="12"/>
      <c r="B39" s="35"/>
      <c r="C39" s="35"/>
      <c r="G39" s="35"/>
    </row>
    <row r="40" spans="1:8">
      <c r="A40" s="12"/>
      <c r="B40" s="35"/>
      <c r="C40" s="35"/>
      <c r="G40" s="35"/>
      <c r="H40" s="35"/>
    </row>
    <row r="41" spans="1:8">
      <c r="A41" s="12"/>
      <c r="B41" s="35"/>
      <c r="C41" s="35"/>
      <c r="G41" s="35"/>
      <c r="H41" s="35"/>
    </row>
    <row r="42" spans="1:8">
      <c r="A42" s="12"/>
      <c r="B42" s="35"/>
      <c r="C42" s="35"/>
      <c r="G42" s="35"/>
      <c r="H42" s="35"/>
    </row>
    <row r="43" spans="1:8">
      <c r="A43" s="12"/>
      <c r="B43" s="35"/>
      <c r="C43" s="35"/>
      <c r="G43" s="35"/>
      <c r="H43" s="35"/>
    </row>
    <row r="44" spans="1:8">
      <c r="A44" s="12"/>
      <c r="B44" s="35"/>
      <c r="C44" s="35"/>
      <c r="G44" s="35"/>
      <c r="H44" s="35"/>
    </row>
    <row r="45" spans="1:8">
      <c r="A45" s="12"/>
      <c r="B45" s="35"/>
      <c r="C45" s="35"/>
      <c r="G45" s="35"/>
      <c r="H45" s="35"/>
    </row>
    <row r="46" spans="1:8">
      <c r="A46" s="12"/>
      <c r="B46" s="35"/>
      <c r="C46" s="35"/>
      <c r="G46" s="35"/>
      <c r="H46" s="35"/>
    </row>
    <row r="47" spans="1:8" ht="14.45" customHeight="1">
      <c r="A47" s="12"/>
      <c r="B47" s="35"/>
      <c r="C47" s="35"/>
      <c r="G47" s="35"/>
      <c r="H47" s="35"/>
    </row>
    <row r="48" spans="1:8">
      <c r="A48" s="12"/>
      <c r="B48" s="35"/>
      <c r="C48" s="35"/>
      <c r="G48" s="35"/>
      <c r="H48" s="35"/>
    </row>
    <row r="49" spans="1:8">
      <c r="A49" s="12"/>
      <c r="B49" s="35"/>
      <c r="C49" s="35"/>
      <c r="G49" s="35"/>
      <c r="H49" s="35"/>
    </row>
    <row r="50" spans="1:8">
      <c r="A50" s="12"/>
      <c r="B50" s="35"/>
      <c r="C50" s="35"/>
      <c r="G50" s="35"/>
      <c r="H50" s="35"/>
    </row>
    <row r="51" spans="1:8">
      <c r="A51" s="12"/>
      <c r="B51" s="35"/>
      <c r="C51" s="35"/>
      <c r="G51" s="35"/>
      <c r="H51" s="35"/>
    </row>
    <row r="52" spans="1:8">
      <c r="A52" s="12"/>
      <c r="B52" s="35"/>
      <c r="C52" s="35"/>
      <c r="G52" s="35"/>
      <c r="H52" s="35"/>
    </row>
    <row r="53" spans="1:8">
      <c r="A53" s="12"/>
      <c r="B53" s="35"/>
      <c r="C53" s="35"/>
      <c r="G53" s="35"/>
      <c r="H53" s="35"/>
    </row>
    <row r="54" spans="1:8">
      <c r="A54" s="12"/>
      <c r="B54" s="35"/>
      <c r="C54" s="35"/>
      <c r="G54" s="35"/>
      <c r="H54" s="35"/>
    </row>
    <row r="55" spans="1:8">
      <c r="A55" s="12"/>
      <c r="B55" s="35"/>
      <c r="C55" s="35"/>
      <c r="G55" s="35"/>
      <c r="H55" s="35"/>
    </row>
    <row r="56" spans="1:8">
      <c r="A56" s="12"/>
      <c r="B56" s="35"/>
      <c r="C56" s="35"/>
      <c r="G56" s="35"/>
      <c r="H56" s="35"/>
    </row>
    <row r="57" spans="1:8">
      <c r="A57" s="12"/>
      <c r="B57" s="35"/>
      <c r="C57" s="35"/>
      <c r="G57" s="35"/>
      <c r="H57" s="35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Normal="100" workbookViewId="0" xr3:uid="{842E5F09-E766-5B8D-85AF-A39847EA96FD}">
      <selection activeCell="D4" sqref="D4"/>
    </sheetView>
  </sheetViews>
  <sheetFormatPr defaultColWidth="8.85546875" defaultRowHeight="15.7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5">
      <c r="B1" s="23" t="s">
        <v>122</v>
      </c>
      <c r="C1" s="32" t="str">
        <f>+"http://10.11.62.82:28080/IRIS/api/v1.0.0/party/"&amp;Spec!$C$1</f>
        <v>http://10.11.62.82:28080/IRIS/api/v1.0.0/party/EL0001</v>
      </c>
      <c r="D1" s="23"/>
      <c r="E1" s="22"/>
    </row>
    <row r="2" spans="1:5">
      <c r="A2" s="22"/>
      <c r="B2" s="22" t="s">
        <v>123</v>
      </c>
      <c r="C2" s="32" t="str">
        <f>+"http://10.11.62.82:58080/IRIS/api/v1.0.0/party/"&amp;Spec!$C$1</f>
        <v>http://10.11.62.82:58080/IRIS/api/v1.0.0/party/EL0001</v>
      </c>
      <c r="D2" s="12"/>
      <c r="E2" s="22"/>
    </row>
    <row r="3" spans="1:5">
      <c r="A3" s="25"/>
      <c r="B3" s="26" t="s">
        <v>124</v>
      </c>
      <c r="C3" s="27" t="s">
        <v>125</v>
      </c>
      <c r="D3" s="27" t="s">
        <v>126</v>
      </c>
      <c r="E3" s="28" t="s">
        <v>127</v>
      </c>
    </row>
    <row r="4" spans="1:5" ht="409.5" customHeight="1">
      <c r="A4" s="25"/>
      <c r="B4" s="29" t="s">
        <v>128</v>
      </c>
      <c r="C4" s="29"/>
      <c r="D4" s="31" t="s">
        <v>129</v>
      </c>
      <c r="E4" s="30" t="s">
        <v>130</v>
      </c>
    </row>
    <row r="5" spans="1:5" ht="409.5">
      <c r="B5" s="29"/>
      <c r="C5" s="29"/>
      <c r="D5" s="31" t="s">
        <v>131</v>
      </c>
      <c r="E5" s="30" t="s">
        <v>132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39D528-716C-4F51-884E-DC4163A02704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林采霓-數位應用部-永豐銀行</cp:lastModifiedBy>
  <cp:revision/>
  <dcterms:created xsi:type="dcterms:W3CDTF">2020-03-13T10:54:50Z</dcterms:created>
  <dcterms:modified xsi:type="dcterms:W3CDTF">2023-03-02T09:38:28Z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