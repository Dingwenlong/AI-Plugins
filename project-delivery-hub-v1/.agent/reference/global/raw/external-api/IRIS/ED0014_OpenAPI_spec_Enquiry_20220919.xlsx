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0_ncr:100000_{AD118D88-756A-4CDB-B056-12C9C71B8BF1}" xr6:coauthVersionLast="31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C2" i="3"/>
  <c r="C8" i="2" l="1"/>
  <c r="C3" i="2"/>
</calcChain>
</file>

<file path=xl/sharedStrings.xml><?xml version="1.0" encoding="utf-8"?>
<sst xmlns="http://schemas.openxmlformats.org/spreadsheetml/2006/main" count="354" uniqueCount="219">
  <si>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</si>
  <si>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</si>
  <si>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</si>
  <si>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</si>
  <si>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</si>
  <si>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</si>
  <si>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</si>
  <si>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</si>
  <si>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</si>
  <si>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</si>
  <si>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</si>
  <si>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</si>
  <si>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</si>
  <si>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</si>
  <si>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</si>
  <si>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</si>
  <si>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</si>
  <si>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</si>
  <si>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</si>
  <si>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</si>
  <si>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</si>
  <si>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</si>
  <si>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</si>
  <si>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</si>
  <si>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</si>
  <si>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</si>
  <si>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</si>
  <si>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</si>
  <si>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</si>
  <si>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</si>
  <si>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</si>
  <si>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</si>
  <si>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</si>
  <si>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</si>
  <si>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</si>
  <si>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</si>
  <si>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</si>
  <si>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</si>
  <si>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</si>
  <si>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Original ENQUIRY ID</t>
    <phoneticPr fontId="3" type="noConversion"/>
  </si>
  <si>
    <t>EnqAcctId</t>
  </si>
  <si>
    <t>NETBANK</t>
    <phoneticPr fontId="3" type="noConversion"/>
  </si>
  <si>
    <t>MOBILE</t>
    <phoneticPr fontId="3" type="noConversion"/>
  </si>
  <si>
    <t>Document History</t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</si>
  <si>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</si>
  <si>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t>API Vocabulary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</si>
  <si>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</si>
  <si>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ENQ.ACCT.ID</t>
  </si>
  <si>
    <t>16L</t>
    <phoneticPr fontId="3" type="noConversion"/>
  </si>
  <si>
    <t>3L</t>
    <phoneticPr fontId="3" type="noConversion"/>
  </si>
  <si>
    <t>70L</t>
    <phoneticPr fontId="3" type="noConversion"/>
  </si>
  <si>
    <t>6L</t>
    <phoneticPr fontId="3" type="noConversion"/>
  </si>
  <si>
    <t>19R</t>
    <phoneticPr fontId="3" type="noConversion"/>
  </si>
  <si>
    <t>8R</t>
    <phoneticPr fontId="3" type="noConversion"/>
  </si>
  <si>
    <t>10L</t>
    <phoneticPr fontId="3" type="noConversion"/>
  </si>
  <si>
    <t>36L</t>
    <phoneticPr fontId="3" type="noConversion"/>
  </si>
  <si>
    <t>19L</t>
    <phoneticPr fontId="3" type="noConversion"/>
  </si>
  <si>
    <t>2L</t>
    <phoneticPr fontId="3" type="noConversion"/>
  </si>
  <si>
    <t>11R</t>
    <phoneticPr fontId="3" type="noConversion"/>
  </si>
  <si>
    <t>16R</t>
    <phoneticPr fontId="3" type="noConversion"/>
  </si>
  <si>
    <t>ED0014</t>
  </si>
  <si>
    <t>當日提示票據查詢</t>
  </si>
  <si>
    <t>ENQ.KPI.BR</t>
  </si>
  <si>
    <t>EnqKpiBr</t>
  </si>
  <si>
    <t>ENQ.CO.CODE</t>
  </si>
  <si>
    <t>EnqCoCode</t>
  </si>
  <si>
    <t>ENQ.INP.BR</t>
  </si>
  <si>
    <t>EnqInpBr</t>
  </si>
  <si>
    <t>ENQ.TXN.TYPE</t>
  </si>
  <si>
    <t>EnqTxnType</t>
  </si>
  <si>
    <t>ENQ.INP.TYPE</t>
  </si>
  <si>
    <t>EnqInpType</t>
  </si>
  <si>
    <t>ENQ.CLR.STS</t>
  </si>
  <si>
    <t>EnqClrSts</t>
  </si>
  <si>
    <t>ENQ.STP.FLG</t>
  </si>
  <si>
    <t>EnqStpFlg</t>
  </si>
  <si>
    <t>ENQ.RET.FLG</t>
  </si>
  <si>
    <t>EnqRetFlg</t>
  </si>
  <si>
    <t>ENQ.ERR.CODE</t>
  </si>
  <si>
    <t>EnqErrCode</t>
  </si>
  <si>
    <t>ENQ.MAX.CNT</t>
  </si>
  <si>
    <t>EnqMaxCnt</t>
  </si>
  <si>
    <t>ENQ.ID</t>
  </si>
  <si>
    <t>E.ENQ.TYPE</t>
  </si>
  <si>
    <t>F ENQ.ID</t>
  </si>
  <si>
    <t>EnqEEnqType</t>
  </si>
  <si>
    <t>F |,1</t>
  </si>
  <si>
    <t>E.ACCT.ID</t>
  </si>
  <si>
    <t>EnqEAcctId</t>
  </si>
  <si>
    <t>F |,2</t>
  </si>
  <si>
    <t>E.ACCT.TITLE</t>
  </si>
  <si>
    <t>EnqEAcctTitle</t>
  </si>
  <si>
    <t>F |,3</t>
  </si>
  <si>
    <t>E.CHQ.CLR.STS</t>
  </si>
  <si>
    <t>EnqEChqClrSts</t>
  </si>
  <si>
    <t>F |,4</t>
  </si>
  <si>
    <t>E.CHQ.NO</t>
  </si>
  <si>
    <t>EnqEChqNo</t>
  </si>
  <si>
    <t>F |,5</t>
  </si>
  <si>
    <t>E.CHQ.AMT</t>
  </si>
  <si>
    <t>EnqEChqAmt</t>
  </si>
  <si>
    <t>F |,6</t>
  </si>
  <si>
    <t>E.SMS.SEND.FLAG</t>
  </si>
  <si>
    <t>EnqESmsSendFlag</t>
  </si>
  <si>
    <t>F |,7</t>
  </si>
  <si>
    <t>E.SMS.PROC</t>
  </si>
  <si>
    <t>EnqESmsProc</t>
  </si>
  <si>
    <t>F |,8</t>
  </si>
  <si>
    <t>E.CHQ.ERR.CODE</t>
  </si>
  <si>
    <t>EnqEChqErrCode</t>
  </si>
  <si>
    <t>F |,9</t>
  </si>
  <si>
    <t>E.CLR.TYPE</t>
  </si>
  <si>
    <t>EnqEClrType</t>
  </si>
  <si>
    <t>F |,10</t>
  </si>
  <si>
    <t>E.TXN.INP.BR</t>
  </si>
  <si>
    <t>EnqETxnInpBr</t>
  </si>
  <si>
    <t>F |,11</t>
  </si>
  <si>
    <t>E.CUST.AGT.SIGN</t>
  </si>
  <si>
    <t>EnqECustAgtSign</t>
  </si>
  <si>
    <t>F |,12</t>
  </si>
  <si>
    <t>E.AC.PST.FLAG</t>
  </si>
  <si>
    <t>EnqEAcPstFlag</t>
  </si>
  <si>
    <t>F |,13</t>
  </si>
  <si>
    <t>E.AC.AUT.FLAG</t>
  </si>
  <si>
    <t>EnqEAcAutFlag</t>
  </si>
  <si>
    <t>F |,14</t>
  </si>
  <si>
    <t>E.CUST.LN.FLAG</t>
  </si>
  <si>
    <t>EnqECustLnFlag</t>
  </si>
  <si>
    <t>F |,15</t>
  </si>
  <si>
    <t>E.AC.DAO</t>
  </si>
  <si>
    <t>EnqEAcDao</t>
  </si>
  <si>
    <t>F |,16</t>
  </si>
  <si>
    <t>E.AC.KPI.BR</t>
  </si>
  <si>
    <t>EnqEAcKpiBr</t>
  </si>
  <si>
    <t>F |,17</t>
  </si>
  <si>
    <t>E.SHR.CHQ.FLG</t>
  </si>
  <si>
    <t>EnqEShrChqFlg</t>
  </si>
  <si>
    <t>F |,18</t>
  </si>
  <si>
    <t>E.CHQ.STP.FLG</t>
  </si>
  <si>
    <t>EnqEChqStpFlg</t>
  </si>
  <si>
    <t>F |,19</t>
  </si>
  <si>
    <t>E.CHQ.RET.FLG</t>
  </si>
  <si>
    <t>EnqEChqRetFlg</t>
  </si>
  <si>
    <t>F |,20</t>
  </si>
  <si>
    <t>E.CHQ.TYPE</t>
  </si>
  <si>
    <t>EnqEChqType</t>
  </si>
  <si>
    <t>F |,21</t>
  </si>
  <si>
    <t>E.CHQ.TYPE.DESC</t>
  </si>
  <si>
    <t>EnqEChqTypeDesc</t>
  </si>
  <si>
    <t>F |,22</t>
  </si>
  <si>
    <t>E.CHQ.MULTI.VALUE</t>
  </si>
  <si>
    <t>EnqEChqMultiValue</t>
  </si>
  <si>
    <t>F |,23</t>
  </si>
  <si>
    <t>DET/TOT</t>
    <phoneticPr fontId="3" type="noConversion"/>
  </si>
  <si>
    <t>帳號</t>
  </si>
  <si>
    <t>姓名/電話</t>
  </si>
  <si>
    <t>交易金額/所需交易總金額</t>
    <phoneticPr fontId="3" type="noConversion"/>
  </si>
  <si>
    <t>簡訊記號</t>
  </si>
  <si>
    <t>簡訊發送時間</t>
  </si>
  <si>
    <t>扣帳來源</t>
  </si>
  <si>
    <t>輸入行</t>
  </si>
  <si>
    <t>補約記號</t>
  </si>
  <si>
    <t>交易控管記號</t>
    <phoneticPr fontId="3" type="noConversion"/>
  </si>
  <si>
    <t>授扣帳號</t>
  </si>
  <si>
    <t>授信戶</t>
  </si>
  <si>
    <t>績效行</t>
  </si>
  <si>
    <t>股利票記號</t>
    <phoneticPr fontId="3" type="noConversion"/>
  </si>
  <si>
    <t>停止兌付狀態(問題票 or不兌付)</t>
    <phoneticPr fontId="3" type="noConversion"/>
  </si>
  <si>
    <t>退票記號</t>
  </si>
  <si>
    <t>票據類型</t>
    <phoneticPr fontId="3" type="noConversion"/>
  </si>
  <si>
    <t>票據類型名稱</t>
    <phoneticPr fontId="3" type="noConversion"/>
  </si>
  <si>
    <t>序號</t>
    <phoneticPr fontId="3" type="noConversion"/>
  </si>
  <si>
    <t>明細/小計</t>
    <phoneticPr fontId="3" type="noConversion"/>
  </si>
  <si>
    <t>NAME/PHONE</t>
    <phoneticPr fontId="3" type="noConversion"/>
  </si>
  <si>
    <r>
      <rPr>
        <sz val="11"/>
        <color theme="1"/>
        <rFont val="細明體"/>
        <family val="2"/>
        <charset val="136"/>
      </rPr>
      <t>票據號碼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待補金額</t>
    </r>
    <phoneticPr fontId="3" type="noConversion"/>
  </si>
  <si>
    <t>Cheque Account Number</t>
    <phoneticPr fontId="3" type="noConversion"/>
  </si>
  <si>
    <t>Stock Share Cheque Flag</t>
    <phoneticPr fontId="3" type="noConversion"/>
  </si>
  <si>
    <t>Cheque Type</t>
    <phoneticPr fontId="3" type="noConversion"/>
  </si>
  <si>
    <t>Cheque Type Description</t>
    <phoneticPr fontId="3" type="noConversion"/>
  </si>
  <si>
    <t>Cheque Ret Flag</t>
    <phoneticPr fontId="3" type="noConversion"/>
  </si>
  <si>
    <t>Cheque Stop Flag</t>
    <phoneticPr fontId="3" type="noConversion"/>
  </si>
  <si>
    <t>Account KPI</t>
    <phoneticPr fontId="3" type="noConversion"/>
  </si>
  <si>
    <t>AO</t>
    <phoneticPr fontId="3" type="noConversion"/>
  </si>
  <si>
    <t>Account Number</t>
    <phoneticPr fontId="3" type="noConversion"/>
  </si>
  <si>
    <r>
      <rPr>
        <sz val="11"/>
        <color theme="1"/>
        <rFont val="微軟正黑體"/>
        <family val="2"/>
        <charset val="136"/>
      </rPr>
      <t>票據未兌付狀態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最高提款額</t>
    </r>
    <phoneticPr fontId="3" type="noConversion"/>
  </si>
  <si>
    <r>
      <rPr>
        <sz val="11"/>
        <color theme="1"/>
        <rFont val="微軟正黑體"/>
        <family val="2"/>
        <charset val="136"/>
      </rPr>
      <t>銷帳記號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待補總張數</t>
    </r>
    <phoneticPr fontId="3" type="noConversion"/>
  </si>
  <si>
    <t>Posting Restrict Flag</t>
  </si>
  <si>
    <t>Input Brno</t>
    <phoneticPr fontId="3" type="noConversion"/>
  </si>
  <si>
    <t>Aut Account Number</t>
    <phoneticPr fontId="3" type="noConversion"/>
  </si>
  <si>
    <t>SMS Send Flag</t>
    <phoneticPr fontId="3" type="noConversion"/>
  </si>
  <si>
    <t>SMS Send Time</t>
    <phoneticPr fontId="3" type="noConversion"/>
  </si>
  <si>
    <t>Cheque Status/Cheque Need Pay Count</t>
    <phoneticPr fontId="3" type="noConversion"/>
  </si>
  <si>
    <t>Cheque Number/Cheque Need Pay Amount</t>
    <phoneticPr fontId="3" type="noConversion"/>
  </si>
  <si>
    <t>Cheque Amount/Cheque Total Amount</t>
    <phoneticPr fontId="3" type="noConversion"/>
  </si>
  <si>
    <t>Cheque Error Code/Available Amount</t>
    <phoneticPr fontId="3" type="noConversion"/>
  </si>
  <si>
    <t>EQ</t>
    <phoneticPr fontId="3" type="noConversion"/>
  </si>
  <si>
    <t>RG</t>
    <phoneticPr fontId="3" type="noConversion"/>
  </si>
  <si>
    <t>EnqAcctId2</t>
    <phoneticPr fontId="3" type="noConversion"/>
  </si>
  <si>
    <t>16R</t>
    <phoneticPr fontId="3" type="noConversion"/>
  </si>
  <si>
    <t>35L</t>
    <phoneticPr fontId="3" type="noConversion"/>
  </si>
  <si>
    <t>65L</t>
  </si>
  <si>
    <t>8R</t>
    <phoneticPr fontId="3" type="noConversion"/>
  </si>
  <si>
    <t>19R</t>
    <phoneticPr fontId="3" type="noConversion"/>
  </si>
  <si>
    <t>3L</t>
    <phoneticPr fontId="3" type="noConversion"/>
  </si>
  <si>
    <t>10L</t>
    <phoneticPr fontId="3" type="noConversion"/>
  </si>
  <si>
    <t>2L</t>
    <phoneticPr fontId="3" type="noConversion"/>
  </si>
  <si>
    <t>6L</t>
  </si>
  <si>
    <t>9L</t>
  </si>
  <si>
    <t>1L</t>
    <phoneticPr fontId="3" type="noConversion"/>
  </si>
  <si>
    <t>4L</t>
    <phoneticPr fontId="3" type="noConversion"/>
  </si>
  <si>
    <t>70L</t>
    <phoneticPr fontId="3" type="noConversion"/>
  </si>
  <si>
    <t>6L</t>
    <phoneticPr fontId="3" type="noConversion"/>
  </si>
  <si>
    <t>2R</t>
    <phoneticPr fontId="3" type="noConversion"/>
  </si>
  <si>
    <t>何韻妤</t>
    <phoneticPr fontId="3" type="noConversion"/>
  </si>
  <si>
    <t>Content-Type: application/json
EnqAcctId:12103199999984
EnqAcctId2:12103199999984 12103199999984
EnqCoCode:TW8070121
EnqInpBr:TW8070778
EnqTxnType:INWC
EnqInpType:N1
EnqClrSts:01/02
EnqStpFlg:STP
EnqRetFlg:OTH/REG/BAL
EnqErrCode:KE092
EnqMaxCnt:5</t>
    <phoneticPr fontId="3" type="noConversion"/>
  </si>
  <si>
    <r>
      <t>{
  "header": {
    "audit": {
      "T24_time": 85,
      "parse_time": 0
    },
    "page_start": 1,
    "page_token": "8389473552.01,99",
    "total_size": 2,
    "page_size": 99,
    "status": "success"
  },
  "body": [
    {
      "EnqECustAgtSign": "2",
      "EnqEAcDao": "121800",
      "EnqEChqMultiValue": "1",
      "EnqEChqNo": "0032988",
      "EnqEAcKpiBr": "BR0121",
      "EnqEChqTypeDesc": "</t>
    </r>
    <r>
      <rPr>
        <sz val="11"/>
        <color theme="1"/>
        <rFont val="細明體"/>
        <family val="2"/>
        <charset val="136"/>
      </rPr>
      <t>一般支票</t>
    </r>
    <r>
      <rPr>
        <sz val="11"/>
        <color theme="1"/>
        <rFont val="Calibri"/>
        <family val="2"/>
      </rPr>
      <t>",
      "EnqEAcctTitle":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2748475",
      "EnqESmsSendFlag": "Y",
      "EnqEChqAmt": "1000",
      "EnqETxnInpBr": "TW8070778",
      "EnqEClrType": "N1",
      "EnqEEnqType": "DET",
      "EnqEAcctId": "12103100001182",
      "EnqEChqClrSts": "01",
      "EnqEChqType": "CURR"
    },
    {
      "EnqEChqAmt": "1000",
      "EnqEChqStpFlg": "886-02-87612288 886-02-87612288",
      "EnqEEnqType": "TOT",
      "EnqEAcctId": "12103100001182",
      "EnqEChqErrCode": "9997",
      "EnqEAcctTitle": "886-09-11222333 886-02-87612288"
    }
  ]
}</t>
    </r>
    <phoneticPr fontId="3" type="noConversion"/>
  </si>
  <si>
    <t>TMBI.INW.CHQ.INSUFF.BAL.ENQ</t>
    <phoneticPr fontId="3" type="noConversion"/>
  </si>
  <si>
    <t>Debit Source</t>
    <phoneticPr fontId="3" type="noConversion"/>
  </si>
  <si>
    <t>Cheque Contract Flag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</si>
</sst>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1" fillId="0" borderId="6" xfId="0" applyFont="1" applyBorder="1"/>
    <xf numFmtId="0" fontId="20" fillId="0" borderId="0" xfId="0" applyFont="1"/>
    <xf numFmtId="0" fontId="17" fillId="0" borderId="0" xfId="0" applyFont="1" applyBorder="1" applyAlignment="1">
      <alignment vertical="center"/>
    </xf>
    <xf numFmtId="0" fontId="10" fillId="0" borderId="0" xfId="0" applyFont="1" applyBorder="1"/>
    <xf numFmtId="0" fontId="22" fillId="0" borderId="0" xfId="0" applyFont="1"/>
    <xf numFmtId="0" fontId="10" fillId="0" borderId="0" xfId="0" applyFont="1" applyFill="1"/>
    <xf numFmtId="0" fontId="2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sqref="A1:E1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3" t="s">
        <v>19</v>
      </c>
      <c r="B1" s="44"/>
      <c r="C1" s="44"/>
      <c r="D1" s="44"/>
      <c r="E1" s="44"/>
    </row>
    <row r="2" spans="1:5" ht="20.100000000000001" customHeight="1" thickBot="1" x14ac:dyDescent="0.3">
      <c r="A2" s="40" t="s">
        <v>43</v>
      </c>
      <c r="B2" s="41"/>
      <c r="C2" s="41"/>
      <c r="D2" s="41"/>
      <c r="E2" s="42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44823</v>
      </c>
      <c r="C4" s="5" t="s">
        <v>6</v>
      </c>
      <c r="D4" s="39" t="s">
        <v>213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82"/>
  <sheetViews>
    <sheetView tabSelected="1" topLeftCell="A10" zoomScale="85" zoomScaleNormal="85" workbookViewId="0">
      <selection activeCell="J42" sqref="J42"/>
    </sheetView>
  </sheetViews>
  <sheetFormatPr defaultColWidth="8.85546875" defaultRowHeight="15" x14ac:dyDescent="0.25"/>
  <cols>
    <col min="1" max="1" width="4.285156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5.42578125" style="12" bestFit="1" customWidth="1"/>
    <col min="8" max="8" width="50.140625" style="12" bestFit="1" customWidth="1"/>
    <col min="9" max="16384" width="8.85546875" style="12"/>
  </cols>
  <sheetData>
    <row r="1" spans="2:5" x14ac:dyDescent="0.25">
      <c r="B1" s="10" t="s">
        <v>31</v>
      </c>
      <c r="C1" s="11" t="s">
        <v>60</v>
      </c>
    </row>
    <row r="2" spans="2:5" x14ac:dyDescent="0.25">
      <c r="B2" s="10" t="s">
        <v>32</v>
      </c>
      <c r="C2" s="33" t="s">
        <v>61</v>
      </c>
    </row>
    <row r="3" spans="2:5" x14ac:dyDescent="0.25">
      <c r="B3" s="10" t="s">
        <v>8</v>
      </c>
      <c r="C3" s="11" t="str">
        <f>+"/api/v1.0.0/party/"&amp;C1</f>
        <v>/api/v1.0.0/party/ED0014</v>
      </c>
    </row>
    <row r="4" spans="2:5" ht="106.5" customHeight="1" x14ac:dyDescent="0.25">
      <c r="B4" s="10" t="s">
        <v>22</v>
      </c>
      <c r="C4" s="32" t="s">
        <v>46</v>
      </c>
    </row>
    <row r="5" spans="2:5" x14ac:dyDescent="0.25">
      <c r="B5" s="10" t="s">
        <v>26</v>
      </c>
      <c r="C5" s="11" t="s">
        <v>9</v>
      </c>
    </row>
    <row r="6" spans="2:5" x14ac:dyDescent="0.25">
      <c r="B6" s="10" t="s">
        <v>21</v>
      </c>
      <c r="C6" s="11" t="s">
        <v>10</v>
      </c>
    </row>
    <row r="7" spans="2:5" x14ac:dyDescent="0.25">
      <c r="B7" s="10" t="s">
        <v>39</v>
      </c>
      <c r="C7" s="11" t="s">
        <v>216</v>
      </c>
    </row>
    <row r="8" spans="2:5" x14ac:dyDescent="0.25">
      <c r="B8" s="10" t="s">
        <v>23</v>
      </c>
      <c r="C8" s="11" t="str">
        <f>+"ENQ.API."&amp;C1&amp;".1.0.0"</f>
        <v>ENQ.API.ED0014.1.0.0</v>
      </c>
    </row>
    <row r="9" spans="2:5" x14ac:dyDescent="0.25">
      <c r="B9" s="12"/>
    </row>
    <row r="10" spans="2:5" x14ac:dyDescent="0.25">
      <c r="B10" s="12"/>
    </row>
    <row r="11" spans="2:5" x14ac:dyDescent="0.25">
      <c r="B11" s="10" t="s">
        <v>11</v>
      </c>
      <c r="C11" s="13" t="s">
        <v>20</v>
      </c>
      <c r="D11" s="10" t="s">
        <v>12</v>
      </c>
      <c r="E11" s="14" t="s">
        <v>33</v>
      </c>
    </row>
    <row r="12" spans="2:5" x14ac:dyDescent="0.25">
      <c r="B12" s="28" t="s">
        <v>62</v>
      </c>
      <c r="C12" s="28" t="s">
        <v>63</v>
      </c>
      <c r="D12" s="28" t="s">
        <v>13</v>
      </c>
      <c r="E12" s="11"/>
    </row>
    <row r="13" spans="2:5" x14ac:dyDescent="0.25">
      <c r="B13" s="28" t="s">
        <v>64</v>
      </c>
      <c r="C13" s="28" t="s">
        <v>65</v>
      </c>
      <c r="D13" s="28" t="s">
        <v>13</v>
      </c>
      <c r="E13" s="11"/>
    </row>
    <row r="14" spans="2:5" x14ac:dyDescent="0.25">
      <c r="B14" s="28" t="s">
        <v>47</v>
      </c>
      <c r="C14" s="28" t="s">
        <v>40</v>
      </c>
      <c r="D14" s="28" t="s">
        <v>195</v>
      </c>
      <c r="E14" s="11"/>
    </row>
    <row r="15" spans="2:5" x14ac:dyDescent="0.25">
      <c r="B15" s="28" t="s">
        <v>47</v>
      </c>
      <c r="C15" s="28" t="s">
        <v>197</v>
      </c>
      <c r="D15" s="28" t="s">
        <v>196</v>
      </c>
      <c r="E15" s="11"/>
    </row>
    <row r="16" spans="2:5" x14ac:dyDescent="0.25">
      <c r="B16" s="28" t="s">
        <v>66</v>
      </c>
      <c r="C16" s="28" t="s">
        <v>67</v>
      </c>
      <c r="D16" s="28" t="s">
        <v>13</v>
      </c>
      <c r="E16" s="11"/>
    </row>
    <row r="17" spans="1:8" x14ac:dyDescent="0.25">
      <c r="B17" s="28" t="s">
        <v>68</v>
      </c>
      <c r="C17" s="28" t="s">
        <v>69</v>
      </c>
      <c r="D17" s="28" t="s">
        <v>13</v>
      </c>
      <c r="E17" s="11"/>
    </row>
    <row r="18" spans="1:8" x14ac:dyDescent="0.25">
      <c r="B18" s="28" t="s">
        <v>70</v>
      </c>
      <c r="C18" s="28" t="s">
        <v>71</v>
      </c>
      <c r="D18" s="28" t="s">
        <v>13</v>
      </c>
      <c r="E18" s="11"/>
    </row>
    <row r="19" spans="1:8" x14ac:dyDescent="0.25">
      <c r="B19" s="28" t="s">
        <v>72</v>
      </c>
      <c r="C19" s="28" t="s">
        <v>73</v>
      </c>
      <c r="D19" s="28" t="s">
        <v>13</v>
      </c>
      <c r="E19" s="11"/>
    </row>
    <row r="20" spans="1:8" x14ac:dyDescent="0.25">
      <c r="B20" s="28" t="s">
        <v>74</v>
      </c>
      <c r="C20" s="28" t="s">
        <v>75</v>
      </c>
      <c r="D20" s="28" t="s">
        <v>13</v>
      </c>
      <c r="E20" s="11"/>
    </row>
    <row r="21" spans="1:8" x14ac:dyDescent="0.25">
      <c r="B21" s="28" t="s">
        <v>76</v>
      </c>
      <c r="C21" s="28" t="s">
        <v>77</v>
      </c>
      <c r="D21" s="28" t="s">
        <v>13</v>
      </c>
      <c r="E21" s="11"/>
    </row>
    <row r="22" spans="1:8" x14ac:dyDescent="0.25">
      <c r="B22" s="28" t="s">
        <v>78</v>
      </c>
      <c r="C22" s="28" t="s">
        <v>79</v>
      </c>
      <c r="D22" s="28" t="s">
        <v>13</v>
      </c>
      <c r="E22" s="11"/>
    </row>
    <row r="23" spans="1:8" x14ac:dyDescent="0.25">
      <c r="B23" s="28" t="s">
        <v>80</v>
      </c>
      <c r="C23" s="28" t="s">
        <v>81</v>
      </c>
      <c r="D23" s="28" t="s">
        <v>13</v>
      </c>
      <c r="E23" s="11"/>
    </row>
    <row r="24" spans="1:8" x14ac:dyDescent="0.25">
      <c r="B24" s="35"/>
      <c r="C24" s="35"/>
      <c r="D24" s="35"/>
      <c r="E24" s="36"/>
    </row>
    <row r="25" spans="1:8" x14ac:dyDescent="0.25">
      <c r="A25" s="16"/>
      <c r="B25" s="15"/>
      <c r="C25" s="16"/>
      <c r="D25" s="15"/>
      <c r="E25" s="15"/>
      <c r="F25" s="15"/>
    </row>
    <row r="26" spans="1:8" s="19" customFormat="1" x14ac:dyDescent="0.25">
      <c r="A26" s="17" t="s">
        <v>14</v>
      </c>
      <c r="B26" s="17" t="s">
        <v>15</v>
      </c>
      <c r="C26" s="17" t="s">
        <v>45</v>
      </c>
      <c r="D26" s="18" t="s">
        <v>24</v>
      </c>
      <c r="E26" s="17" t="s">
        <v>16</v>
      </c>
      <c r="F26" s="17" t="s">
        <v>17</v>
      </c>
      <c r="G26" s="17" t="s">
        <v>25</v>
      </c>
      <c r="H26" s="17" t="s">
        <v>25</v>
      </c>
    </row>
    <row r="27" spans="1:8" s="19" customFormat="1" x14ac:dyDescent="0.25">
      <c r="A27" s="17"/>
      <c r="B27" s="17" t="s">
        <v>34</v>
      </c>
      <c r="C27" s="31" t="s">
        <v>44</v>
      </c>
      <c r="D27" s="17" t="s">
        <v>35</v>
      </c>
      <c r="E27" s="17" t="s">
        <v>36</v>
      </c>
      <c r="F27" s="17" t="s">
        <v>37</v>
      </c>
      <c r="G27" s="17" t="s">
        <v>38</v>
      </c>
      <c r="H27" s="17" t="s">
        <v>38</v>
      </c>
    </row>
    <row r="28" spans="1:8" x14ac:dyDescent="0.25">
      <c r="A28" s="12">
        <v>1</v>
      </c>
      <c r="B28" s="27" t="s">
        <v>83</v>
      </c>
      <c r="C28" s="27" t="s">
        <v>85</v>
      </c>
      <c r="E28" s="27"/>
      <c r="F28" s="12" t="s">
        <v>203</v>
      </c>
      <c r="G28" s="12" t="s">
        <v>172</v>
      </c>
      <c r="H28" s="12" t="s">
        <v>153</v>
      </c>
    </row>
    <row r="29" spans="1:8" x14ac:dyDescent="0.25">
      <c r="A29" s="12">
        <v>2</v>
      </c>
      <c r="B29" s="27" t="s">
        <v>87</v>
      </c>
      <c r="C29" s="27" t="s">
        <v>88</v>
      </c>
      <c r="E29" s="27"/>
      <c r="F29" s="12" t="s">
        <v>200</v>
      </c>
      <c r="G29" s="12" t="s">
        <v>154</v>
      </c>
      <c r="H29" s="12" t="s">
        <v>175</v>
      </c>
    </row>
    <row r="30" spans="1:8" x14ac:dyDescent="0.25">
      <c r="A30" s="12">
        <v>3</v>
      </c>
      <c r="B30" s="27" t="s">
        <v>90</v>
      </c>
      <c r="C30" s="27" t="s">
        <v>91</v>
      </c>
      <c r="E30" s="27"/>
      <c r="F30" s="38" t="s">
        <v>210</v>
      </c>
      <c r="G30" s="12" t="s">
        <v>155</v>
      </c>
      <c r="H30" s="12" t="s">
        <v>173</v>
      </c>
    </row>
    <row r="31" spans="1:8" x14ac:dyDescent="0.25">
      <c r="A31" s="12">
        <v>4</v>
      </c>
      <c r="B31" s="27" t="s">
        <v>93</v>
      </c>
      <c r="C31" s="27" t="s">
        <v>94</v>
      </c>
      <c r="E31" s="27"/>
      <c r="F31" s="38" t="s">
        <v>201</v>
      </c>
      <c r="G31" s="37" t="s">
        <v>185</v>
      </c>
      <c r="H31" s="12" t="s">
        <v>191</v>
      </c>
    </row>
    <row r="32" spans="1:8" ht="15.75" x14ac:dyDescent="0.25">
      <c r="A32" s="12">
        <v>5</v>
      </c>
      <c r="B32" s="27" t="s">
        <v>96</v>
      </c>
      <c r="C32" s="27" t="s">
        <v>97</v>
      </c>
      <c r="E32" s="27"/>
      <c r="F32" s="38" t="s">
        <v>202</v>
      </c>
      <c r="G32" s="37" t="s">
        <v>174</v>
      </c>
      <c r="H32" s="12" t="s">
        <v>192</v>
      </c>
    </row>
    <row r="33" spans="1:8" x14ac:dyDescent="0.25">
      <c r="A33" s="12">
        <v>6</v>
      </c>
      <c r="B33" s="27" t="s">
        <v>99</v>
      </c>
      <c r="C33" s="27" t="s">
        <v>100</v>
      </c>
      <c r="E33" s="27"/>
      <c r="F33" s="38" t="s">
        <v>202</v>
      </c>
      <c r="G33" s="12" t="s">
        <v>156</v>
      </c>
      <c r="H33" s="12" t="s">
        <v>193</v>
      </c>
    </row>
    <row r="34" spans="1:8" x14ac:dyDescent="0.25">
      <c r="A34" s="12">
        <v>7</v>
      </c>
      <c r="B34" s="27" t="s">
        <v>102</v>
      </c>
      <c r="C34" s="27" t="s">
        <v>103</v>
      </c>
      <c r="E34" s="27"/>
      <c r="F34" s="12" t="s">
        <v>208</v>
      </c>
      <c r="G34" s="12" t="s">
        <v>157</v>
      </c>
      <c r="H34" s="12" t="s">
        <v>189</v>
      </c>
    </row>
    <row r="35" spans="1:8" x14ac:dyDescent="0.25">
      <c r="A35" s="12">
        <v>8</v>
      </c>
      <c r="B35" s="27" t="s">
        <v>105</v>
      </c>
      <c r="C35" s="27" t="s">
        <v>106</v>
      </c>
      <c r="E35" s="27"/>
      <c r="F35" s="12" t="s">
        <v>211</v>
      </c>
      <c r="G35" s="12" t="s">
        <v>158</v>
      </c>
      <c r="H35" s="12" t="s">
        <v>190</v>
      </c>
    </row>
    <row r="36" spans="1:8" x14ac:dyDescent="0.25">
      <c r="A36" s="12">
        <v>9</v>
      </c>
      <c r="B36" s="27" t="s">
        <v>108</v>
      </c>
      <c r="C36" s="27" t="s">
        <v>109</v>
      </c>
      <c r="E36" s="27"/>
      <c r="F36" s="38" t="s">
        <v>202</v>
      </c>
      <c r="G36" s="37" t="s">
        <v>184</v>
      </c>
      <c r="H36" s="12" t="s">
        <v>194</v>
      </c>
    </row>
    <row r="37" spans="1:8" x14ac:dyDescent="0.25">
      <c r="A37" s="12">
        <v>10</v>
      </c>
      <c r="B37" s="27" t="s">
        <v>111</v>
      </c>
      <c r="C37" s="27" t="s">
        <v>112</v>
      </c>
      <c r="E37" s="27"/>
      <c r="F37" s="12" t="s">
        <v>205</v>
      </c>
      <c r="G37" s="12" t="s">
        <v>159</v>
      </c>
      <c r="H37" s="12" t="s">
        <v>217</v>
      </c>
    </row>
    <row r="38" spans="1:8" x14ac:dyDescent="0.25">
      <c r="A38" s="12">
        <v>11</v>
      </c>
      <c r="B38" s="27" t="s">
        <v>114</v>
      </c>
      <c r="C38" s="27" t="s">
        <v>115</v>
      </c>
      <c r="E38" s="27"/>
      <c r="F38" s="12" t="s">
        <v>207</v>
      </c>
      <c r="G38" s="12" t="s">
        <v>160</v>
      </c>
      <c r="H38" s="12" t="s">
        <v>187</v>
      </c>
    </row>
    <row r="39" spans="1:8" x14ac:dyDescent="0.25">
      <c r="A39" s="12">
        <v>12</v>
      </c>
      <c r="B39" s="27" t="s">
        <v>117</v>
      </c>
      <c r="C39" s="27" t="s">
        <v>118</v>
      </c>
      <c r="E39" s="27"/>
      <c r="F39" s="38" t="s">
        <v>204</v>
      </c>
      <c r="G39" s="12" t="s">
        <v>161</v>
      </c>
      <c r="H39" s="12" t="s">
        <v>218</v>
      </c>
    </row>
    <row r="40" spans="1:8" x14ac:dyDescent="0.25">
      <c r="A40" s="12">
        <v>13</v>
      </c>
      <c r="B40" s="27" t="s">
        <v>120</v>
      </c>
      <c r="C40" s="27" t="s">
        <v>121</v>
      </c>
      <c r="E40" s="27"/>
      <c r="F40" s="38" t="s">
        <v>212</v>
      </c>
      <c r="G40" s="12" t="s">
        <v>162</v>
      </c>
      <c r="H40" s="12" t="s">
        <v>186</v>
      </c>
    </row>
    <row r="41" spans="1:8" x14ac:dyDescent="0.25">
      <c r="A41" s="12">
        <v>14</v>
      </c>
      <c r="B41" s="27" t="s">
        <v>123</v>
      </c>
      <c r="C41" s="27" t="s">
        <v>124</v>
      </c>
      <c r="E41" s="27"/>
      <c r="F41" s="38" t="s">
        <v>198</v>
      </c>
      <c r="G41" s="12" t="s">
        <v>163</v>
      </c>
      <c r="H41" s="12" t="s">
        <v>188</v>
      </c>
    </row>
    <row r="42" spans="1:8" x14ac:dyDescent="0.25">
      <c r="A42" s="12">
        <v>15</v>
      </c>
      <c r="B42" s="27" t="s">
        <v>126</v>
      </c>
      <c r="C42" s="27" t="s">
        <v>127</v>
      </c>
      <c r="E42" s="27"/>
      <c r="F42" s="38" t="s">
        <v>200</v>
      </c>
      <c r="G42" s="12" t="s">
        <v>164</v>
      </c>
      <c r="H42" s="12" t="s">
        <v>183</v>
      </c>
    </row>
    <row r="43" spans="1:8" x14ac:dyDescent="0.25">
      <c r="A43" s="12">
        <v>16</v>
      </c>
      <c r="B43" s="27" t="s">
        <v>129</v>
      </c>
      <c r="C43" s="27" t="s">
        <v>130</v>
      </c>
      <c r="E43" s="27"/>
      <c r="F43" s="38" t="s">
        <v>206</v>
      </c>
      <c r="G43" s="12" t="s">
        <v>182</v>
      </c>
      <c r="H43" s="12" t="s">
        <v>182</v>
      </c>
    </row>
    <row r="44" spans="1:8" x14ac:dyDescent="0.25">
      <c r="A44" s="12">
        <v>17</v>
      </c>
      <c r="B44" s="27" t="s">
        <v>132</v>
      </c>
      <c r="C44" s="27" t="s">
        <v>133</v>
      </c>
      <c r="E44" s="27"/>
      <c r="F44" s="38" t="s">
        <v>206</v>
      </c>
      <c r="G44" s="12" t="s">
        <v>165</v>
      </c>
      <c r="H44" s="12" t="s">
        <v>181</v>
      </c>
    </row>
    <row r="45" spans="1:8" x14ac:dyDescent="0.25">
      <c r="A45" s="12">
        <v>18</v>
      </c>
      <c r="B45" s="27" t="s">
        <v>135</v>
      </c>
      <c r="C45" s="27" t="s">
        <v>136</v>
      </c>
      <c r="E45" s="27"/>
      <c r="F45" s="12" t="s">
        <v>208</v>
      </c>
      <c r="G45" s="12" t="s">
        <v>166</v>
      </c>
      <c r="H45" s="12" t="s">
        <v>176</v>
      </c>
    </row>
    <row r="46" spans="1:8" x14ac:dyDescent="0.25">
      <c r="A46" s="12">
        <v>19</v>
      </c>
      <c r="B46" s="27" t="s">
        <v>138</v>
      </c>
      <c r="C46" s="27" t="s">
        <v>139</v>
      </c>
      <c r="E46" s="27"/>
      <c r="F46" s="12" t="s">
        <v>203</v>
      </c>
      <c r="G46" s="12" t="s">
        <v>167</v>
      </c>
      <c r="H46" s="12" t="s">
        <v>180</v>
      </c>
    </row>
    <row r="47" spans="1:8" x14ac:dyDescent="0.25">
      <c r="A47" s="12">
        <v>20</v>
      </c>
      <c r="B47" s="27" t="s">
        <v>141</v>
      </c>
      <c r="C47" s="27" t="s">
        <v>142</v>
      </c>
      <c r="E47" s="27"/>
      <c r="F47" s="12" t="s">
        <v>203</v>
      </c>
      <c r="G47" s="12" t="s">
        <v>168</v>
      </c>
      <c r="H47" s="12" t="s">
        <v>179</v>
      </c>
    </row>
    <row r="48" spans="1:8" x14ac:dyDescent="0.25">
      <c r="A48" s="12">
        <v>21</v>
      </c>
      <c r="B48" s="27" t="s">
        <v>144</v>
      </c>
      <c r="C48" s="27" t="s">
        <v>145</v>
      </c>
      <c r="E48" s="27"/>
      <c r="F48" s="12" t="s">
        <v>209</v>
      </c>
      <c r="G48" s="12" t="s">
        <v>169</v>
      </c>
      <c r="H48" s="12" t="s">
        <v>177</v>
      </c>
    </row>
    <row r="49" spans="1:8" x14ac:dyDescent="0.25">
      <c r="A49" s="12">
        <v>22</v>
      </c>
      <c r="B49" s="27" t="s">
        <v>147</v>
      </c>
      <c r="C49" s="27" t="s">
        <v>148</v>
      </c>
      <c r="E49" s="27"/>
      <c r="F49" s="12" t="s">
        <v>199</v>
      </c>
      <c r="G49" s="12" t="s">
        <v>170</v>
      </c>
      <c r="H49" s="12" t="s">
        <v>178</v>
      </c>
    </row>
    <row r="50" spans="1:8" x14ac:dyDescent="0.25">
      <c r="A50" s="12">
        <v>23</v>
      </c>
      <c r="B50" s="27" t="s">
        <v>150</v>
      </c>
      <c r="C50" s="27" t="s">
        <v>151</v>
      </c>
      <c r="E50" s="27"/>
      <c r="F50" s="12" t="s">
        <v>204</v>
      </c>
      <c r="G50" s="12" t="s">
        <v>171</v>
      </c>
    </row>
    <row r="51" spans="1:8" ht="15.75" x14ac:dyDescent="0.25">
      <c r="A51" s="12"/>
      <c r="B51" s="27"/>
      <c r="C51" s="27"/>
      <c r="E51" s="27"/>
      <c r="G51" s="34"/>
    </row>
    <row r="52" spans="1:8" ht="15.75" x14ac:dyDescent="0.25">
      <c r="A52" s="12"/>
      <c r="B52" s="27"/>
      <c r="C52" s="27"/>
      <c r="E52" s="27"/>
      <c r="G52" s="34"/>
    </row>
    <row r="53" spans="1:8" ht="15.75" x14ac:dyDescent="0.25">
      <c r="A53" s="12"/>
      <c r="B53" s="27"/>
      <c r="C53" s="27"/>
      <c r="E53" s="27"/>
      <c r="G53" s="34"/>
    </row>
    <row r="54" spans="1:8" ht="15.75" x14ac:dyDescent="0.25">
      <c r="A54" s="12"/>
      <c r="B54" s="27"/>
      <c r="C54" s="27"/>
      <c r="E54" s="27"/>
      <c r="G54" s="34"/>
    </row>
    <row r="55" spans="1:8" ht="15.75" x14ac:dyDescent="0.25">
      <c r="A55" s="12"/>
      <c r="B55" s="27"/>
      <c r="C55" s="27"/>
      <c r="E55" s="27"/>
      <c r="G55" s="34"/>
    </row>
    <row r="56" spans="1:8" x14ac:dyDescent="0.25">
      <c r="A56" s="12"/>
    </row>
    <row r="57" spans="1:8" x14ac:dyDescent="0.25">
      <c r="A57" s="12"/>
    </row>
    <row r="58" spans="1:8" x14ac:dyDescent="0.25">
      <c r="A58" s="12"/>
    </row>
    <row r="59" spans="1:8" x14ac:dyDescent="0.25">
      <c r="A59" s="27" t="s">
        <v>82</v>
      </c>
      <c r="B59" s="27">
        <v>0</v>
      </c>
      <c r="C59" s="27"/>
      <c r="D59" s="27"/>
      <c r="E59" s="27"/>
    </row>
    <row r="60" spans="1:8" x14ac:dyDescent="0.25">
      <c r="A60" s="27" t="s">
        <v>83</v>
      </c>
      <c r="B60" s="27" t="s">
        <v>84</v>
      </c>
      <c r="C60" s="27" t="s">
        <v>85</v>
      </c>
      <c r="D60" s="27">
        <v>1</v>
      </c>
      <c r="E60" s="27" t="s">
        <v>86</v>
      </c>
      <c r="F60" s="12" t="s">
        <v>48</v>
      </c>
    </row>
    <row r="61" spans="1:8" x14ac:dyDescent="0.25">
      <c r="A61" s="27" t="s">
        <v>87</v>
      </c>
      <c r="B61" s="27" t="s">
        <v>84</v>
      </c>
      <c r="C61" s="27" t="s">
        <v>88</v>
      </c>
      <c r="D61" s="27">
        <v>2</v>
      </c>
      <c r="E61" s="27" t="s">
        <v>89</v>
      </c>
      <c r="F61" s="12" t="s">
        <v>49</v>
      </c>
    </row>
    <row r="62" spans="1:8" x14ac:dyDescent="0.25">
      <c r="A62" s="27" t="s">
        <v>90</v>
      </c>
      <c r="B62" s="27" t="s">
        <v>84</v>
      </c>
      <c r="C62" s="27" t="s">
        <v>91</v>
      </c>
      <c r="D62" s="27">
        <v>3</v>
      </c>
      <c r="E62" s="27" t="s">
        <v>92</v>
      </c>
      <c r="F62" s="12" t="s">
        <v>48</v>
      </c>
    </row>
    <row r="63" spans="1:8" x14ac:dyDescent="0.25">
      <c r="A63" s="27" t="s">
        <v>93</v>
      </c>
      <c r="B63" s="27" t="s">
        <v>84</v>
      </c>
      <c r="C63" s="27" t="s">
        <v>94</v>
      </c>
      <c r="D63" s="27">
        <v>4</v>
      </c>
      <c r="E63" s="27" t="s">
        <v>95</v>
      </c>
      <c r="F63" s="12" t="s">
        <v>50</v>
      </c>
    </row>
    <row r="64" spans="1:8" x14ac:dyDescent="0.25">
      <c r="A64" s="27" t="s">
        <v>96</v>
      </c>
      <c r="B64" s="27" t="s">
        <v>84</v>
      </c>
      <c r="C64" s="27" t="s">
        <v>97</v>
      </c>
      <c r="D64" s="27">
        <v>5</v>
      </c>
      <c r="E64" s="27" t="s">
        <v>98</v>
      </c>
      <c r="F64" s="12" t="s">
        <v>51</v>
      </c>
    </row>
    <row r="65" spans="1:6" x14ac:dyDescent="0.25">
      <c r="A65" s="27" t="s">
        <v>99</v>
      </c>
      <c r="B65" s="27" t="s">
        <v>84</v>
      </c>
      <c r="C65" s="27" t="s">
        <v>100</v>
      </c>
      <c r="D65" s="27">
        <v>6</v>
      </c>
      <c r="E65" s="27" t="s">
        <v>101</v>
      </c>
      <c r="F65" s="12" t="s">
        <v>50</v>
      </c>
    </row>
    <row r="66" spans="1:6" x14ac:dyDescent="0.25">
      <c r="A66" s="27" t="s">
        <v>102</v>
      </c>
      <c r="B66" s="27" t="s">
        <v>84</v>
      </c>
      <c r="C66" s="27" t="s">
        <v>103</v>
      </c>
      <c r="D66" s="27">
        <v>7</v>
      </c>
      <c r="E66" s="27" t="s">
        <v>104</v>
      </c>
      <c r="F66" s="12" t="s">
        <v>52</v>
      </c>
    </row>
    <row r="67" spans="1:6" x14ac:dyDescent="0.25">
      <c r="A67" s="27" t="s">
        <v>105</v>
      </c>
      <c r="B67" s="27" t="s">
        <v>84</v>
      </c>
      <c r="C67" s="27" t="s">
        <v>106</v>
      </c>
      <c r="D67" s="27">
        <v>8</v>
      </c>
      <c r="E67" s="27" t="s">
        <v>107</v>
      </c>
      <c r="F67" s="12" t="s">
        <v>53</v>
      </c>
    </row>
    <row r="68" spans="1:6" x14ac:dyDescent="0.25">
      <c r="A68" s="27" t="s">
        <v>108</v>
      </c>
      <c r="B68" s="27" t="s">
        <v>84</v>
      </c>
      <c r="C68" s="27" t="s">
        <v>109</v>
      </c>
      <c r="D68" s="27">
        <v>9</v>
      </c>
      <c r="E68" s="27" t="s">
        <v>110</v>
      </c>
      <c r="F68" s="12" t="s">
        <v>53</v>
      </c>
    </row>
    <row r="69" spans="1:6" x14ac:dyDescent="0.25">
      <c r="A69" s="27" t="s">
        <v>111</v>
      </c>
      <c r="B69" s="27" t="s">
        <v>84</v>
      </c>
      <c r="C69" s="27" t="s">
        <v>112</v>
      </c>
      <c r="D69" s="27">
        <v>10</v>
      </c>
      <c r="E69" s="27" t="s">
        <v>113</v>
      </c>
      <c r="F69" s="12" t="s">
        <v>53</v>
      </c>
    </row>
    <row r="70" spans="1:6" x14ac:dyDescent="0.25">
      <c r="A70" s="27" t="s">
        <v>114</v>
      </c>
      <c r="B70" s="27" t="s">
        <v>84</v>
      </c>
      <c r="C70" s="27" t="s">
        <v>115</v>
      </c>
      <c r="D70" s="27">
        <v>11</v>
      </c>
      <c r="E70" s="27" t="s">
        <v>116</v>
      </c>
      <c r="F70" s="12" t="s">
        <v>53</v>
      </c>
    </row>
    <row r="71" spans="1:6" x14ac:dyDescent="0.25">
      <c r="A71" s="27" t="s">
        <v>117</v>
      </c>
      <c r="B71" s="27" t="s">
        <v>84</v>
      </c>
      <c r="C71" s="27" t="s">
        <v>118</v>
      </c>
      <c r="D71" s="27">
        <v>12</v>
      </c>
      <c r="E71" s="27" t="s">
        <v>119</v>
      </c>
      <c r="F71" s="12" t="s">
        <v>54</v>
      </c>
    </row>
    <row r="72" spans="1:6" x14ac:dyDescent="0.25">
      <c r="A72" s="27" t="s">
        <v>120</v>
      </c>
      <c r="B72" s="27" t="s">
        <v>84</v>
      </c>
      <c r="C72" s="27" t="s">
        <v>121</v>
      </c>
      <c r="D72" s="27">
        <v>13</v>
      </c>
      <c r="E72" s="27" t="s">
        <v>122</v>
      </c>
      <c r="F72" s="12" t="s">
        <v>59</v>
      </c>
    </row>
    <row r="73" spans="1:6" x14ac:dyDescent="0.25">
      <c r="A73" s="27" t="s">
        <v>123</v>
      </c>
      <c r="B73" s="27" t="s">
        <v>84</v>
      </c>
      <c r="C73" s="27" t="s">
        <v>124</v>
      </c>
      <c r="D73" s="27">
        <v>14</v>
      </c>
      <c r="E73" s="27" t="s">
        <v>125</v>
      </c>
      <c r="F73" s="12" t="s">
        <v>59</v>
      </c>
    </row>
    <row r="74" spans="1:6" x14ac:dyDescent="0.25">
      <c r="A74" s="27" t="s">
        <v>126</v>
      </c>
      <c r="B74" s="27" t="s">
        <v>84</v>
      </c>
      <c r="C74" s="27" t="s">
        <v>127</v>
      </c>
      <c r="D74" s="27">
        <v>15</v>
      </c>
      <c r="E74" s="27" t="s">
        <v>128</v>
      </c>
      <c r="F74" s="12" t="s">
        <v>52</v>
      </c>
    </row>
    <row r="75" spans="1:6" x14ac:dyDescent="0.25">
      <c r="A75" s="27" t="s">
        <v>129</v>
      </c>
      <c r="B75" s="27" t="s">
        <v>84</v>
      </c>
      <c r="C75" s="27" t="s">
        <v>130</v>
      </c>
      <c r="D75" s="27">
        <v>16</v>
      </c>
      <c r="E75" s="27" t="s">
        <v>131</v>
      </c>
      <c r="F75" s="12" t="s">
        <v>52</v>
      </c>
    </row>
    <row r="76" spans="1:6" x14ac:dyDescent="0.25">
      <c r="A76" s="27" t="s">
        <v>132</v>
      </c>
      <c r="B76" s="27" t="s">
        <v>84</v>
      </c>
      <c r="C76" s="27" t="s">
        <v>133</v>
      </c>
      <c r="D76" s="27">
        <v>17</v>
      </c>
      <c r="E76" s="27" t="s">
        <v>134</v>
      </c>
      <c r="F76" s="12" t="s">
        <v>52</v>
      </c>
    </row>
    <row r="77" spans="1:6" x14ac:dyDescent="0.25">
      <c r="A77" s="27" t="s">
        <v>135</v>
      </c>
      <c r="B77" s="27" t="s">
        <v>84</v>
      </c>
      <c r="C77" s="27" t="s">
        <v>136</v>
      </c>
      <c r="D77" s="27">
        <v>18</v>
      </c>
      <c r="E77" s="27" t="s">
        <v>137</v>
      </c>
      <c r="F77" s="12" t="s">
        <v>57</v>
      </c>
    </row>
    <row r="78" spans="1:6" x14ac:dyDescent="0.25">
      <c r="A78" s="27" t="s">
        <v>138</v>
      </c>
      <c r="B78" s="27" t="s">
        <v>84</v>
      </c>
      <c r="C78" s="27" t="s">
        <v>139</v>
      </c>
      <c r="D78" s="27">
        <v>19</v>
      </c>
      <c r="E78" s="27" t="s">
        <v>140</v>
      </c>
      <c r="F78" s="12" t="s">
        <v>58</v>
      </c>
    </row>
    <row r="79" spans="1:6" x14ac:dyDescent="0.25">
      <c r="A79" s="27" t="s">
        <v>141</v>
      </c>
      <c r="B79" s="27" t="s">
        <v>84</v>
      </c>
      <c r="C79" s="27" t="s">
        <v>142</v>
      </c>
      <c r="D79" s="27">
        <v>20</v>
      </c>
      <c r="E79" s="27" t="s">
        <v>143</v>
      </c>
      <c r="F79" s="12" t="s">
        <v>52</v>
      </c>
    </row>
    <row r="80" spans="1:6" x14ac:dyDescent="0.25">
      <c r="A80" s="27" t="s">
        <v>144</v>
      </c>
      <c r="B80" s="27" t="s">
        <v>84</v>
      </c>
      <c r="C80" s="27" t="s">
        <v>145</v>
      </c>
      <c r="D80" s="27">
        <v>21</v>
      </c>
      <c r="E80" s="27" t="s">
        <v>146</v>
      </c>
      <c r="F80" s="12" t="s">
        <v>52</v>
      </c>
    </row>
    <row r="81" spans="1:6" x14ac:dyDescent="0.25">
      <c r="A81" s="27" t="s">
        <v>147</v>
      </c>
      <c r="B81" s="27" t="s">
        <v>84</v>
      </c>
      <c r="C81" s="27" t="s">
        <v>148</v>
      </c>
      <c r="D81" s="27">
        <v>22</v>
      </c>
      <c r="E81" s="27" t="s">
        <v>149</v>
      </c>
      <c r="F81" s="12" t="s">
        <v>55</v>
      </c>
    </row>
    <row r="82" spans="1:6" x14ac:dyDescent="0.25">
      <c r="A82" s="27" t="s">
        <v>150</v>
      </c>
      <c r="B82" s="27" t="s">
        <v>84</v>
      </c>
      <c r="C82" s="27" t="s">
        <v>151</v>
      </c>
      <c r="D82" s="27">
        <v>23</v>
      </c>
      <c r="E82" s="27" t="s">
        <v>152</v>
      </c>
      <c r="F82" s="12" t="s">
        <v>56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Normal="100" workbookViewId="0"/>
  </sheetViews>
  <sheetFormatPr defaultColWidth="8.85546875" defaultRowHeight="15" x14ac:dyDescent="0.25"/>
  <cols>
    <col min="1" max="1" width="8" style="21" bestFit="1" customWidth="1"/>
    <col min="2" max="2" width="10.85546875" style="21" customWidth="1"/>
    <col min="3" max="3" width="10" style="21" bestFit="1" customWidth="1"/>
    <col min="4" max="4" width="39.5703125" style="21" bestFit="1" customWidth="1"/>
    <col min="5" max="5" width="67.7109375" style="21" customWidth="1"/>
    <col min="6" max="16384" width="8.85546875" style="21"/>
  </cols>
  <sheetData>
    <row r="1" spans="1:5" x14ac:dyDescent="0.25">
      <c r="A1" s="20"/>
      <c r="B1" s="20" t="s">
        <v>41</v>
      </c>
      <c r="C1" s="30" t="str">
        <f>+"http://10.11.62.82:28080/IRIS/api/v1.0.0/party/"&amp;Spec!$C$1</f>
        <v>http://10.11.62.82:28080/IRIS/api/v1.0.0/party/ED0014</v>
      </c>
      <c r="E1" s="19"/>
    </row>
    <row r="2" spans="1:5" x14ac:dyDescent="0.25">
      <c r="A2" s="19"/>
      <c r="B2" s="19" t="s">
        <v>42</v>
      </c>
      <c r="C2" s="30" t="str">
        <f>+"http://10.11.62.82:58080/IRIS/api/v1.0.0/party/"&amp;Spec!$C$1</f>
        <v>http://10.11.62.82:58080/IRIS/api/v1.0.0/party/ED0014</v>
      </c>
      <c r="E2" s="19"/>
    </row>
    <row r="3" spans="1:5" x14ac:dyDescent="0.25">
      <c r="B3" s="22" t="s">
        <v>27</v>
      </c>
      <c r="C3" s="23" t="s">
        <v>28</v>
      </c>
      <c r="D3" s="23" t="s">
        <v>29</v>
      </c>
      <c r="E3" s="24" t="s">
        <v>18</v>
      </c>
    </row>
    <row r="4" spans="1:5" ht="409.5" x14ac:dyDescent="0.25">
      <c r="B4" s="25" t="s">
        <v>30</v>
      </c>
      <c r="C4" s="25"/>
      <c r="D4" s="26" t="s">
        <v>214</v>
      </c>
      <c r="E4" s="29" t="s">
        <v>215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923C-95A5-44F6-BCC1-6F9FBFEF857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5AA8A0-3E09-4951-A447-D4F0C99A4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張少萍-交易系統設計部-銀行</cp:lastModifiedBy>
  <cp:revision/>
  <dcterms:created xsi:type="dcterms:W3CDTF">2020-03-13T10:54:50Z</dcterms:created>
  <dcterms:modified xsi:type="dcterms:W3CDTF">2022-09-23T08:10:57Z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