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120263\需求單\!! 00 202208020065_新網銀\放款規格\"/>
    </mc:Choice>
  </mc:AlternateContent>
  <xr:revisionPtr revIDLastSave="0" documentId="13_ncr:1_{BD52E008-6C5F-4C94-B475-57AB03053F30}" xr6:coauthVersionLast="44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3" i="2" l="1"/>
  <c r="C2" i="3" l="1"/>
  <c r="C1" i="3"/>
</calcChain>
</file>

<file path=xl/sharedStrings.xml><?xml version="1.0" encoding="utf-8"?>
<sst xmlns="http://schemas.openxmlformats.org/spreadsheetml/2006/main" count="307" uniqueCount="242">
  <si>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</si>
  <si>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</si>
  <si>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</si>
  <si>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</si>
  <si>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</si>
  <si>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</si>
  <si>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</si>
  <si>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</si>
  <si>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</si>
  <si>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</si>
  <si>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</si>
  <si>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</si>
  <si>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</si>
  <si>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</si>
  <si>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</si>
  <si>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Single Multi</t>
  </si>
  <si>
    <t>NAME.1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</si>
  <si>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</si>
  <si>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</si>
  <si>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</si>
  <si>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</si>
  <si>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EQ</t>
    <phoneticPr fontId="3" type="noConversion"/>
  </si>
  <si>
    <t>ENQUIRY ID</t>
    <phoneticPr fontId="3" type="noConversion"/>
  </si>
  <si>
    <t>T.LN.ALT.NO</t>
  </si>
  <si>
    <t>EnqTLnAltNo</t>
  </si>
  <si>
    <t>EnqTMnemonic</t>
  </si>
  <si>
    <t>EnqName1</t>
  </si>
  <si>
    <t>CURRENCY</t>
  </si>
  <si>
    <t>EnqCurrency</t>
  </si>
  <si>
    <t>EnqTLnGlTerm</t>
  </si>
  <si>
    <t>EnqTLnLnkDepAc</t>
  </si>
  <si>
    <t>SCHED.DATE</t>
  </si>
  <si>
    <t>EnqTLnStartDate</t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</si>
  <si>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</si>
  <si>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</si>
  <si>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</si>
  <si>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</si>
  <si>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</si>
  <si>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</si>
  <si>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</si>
  <si>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</si>
  <si>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</si>
  <si>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</si>
  <si>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</si>
  <si>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</si>
  <si>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</si>
  <si>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</si>
  <si>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</si>
  <si>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</si>
  <si>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</si>
  <si>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</si>
  <si>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</si>
  <si>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</si>
  <si>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</si>
  <si>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</si>
  <si>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</si>
  <si>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35L</t>
    <phoneticPr fontId="3" type="noConversion"/>
  </si>
  <si>
    <t>8R</t>
    <phoneticPr fontId="3" type="noConversion"/>
  </si>
  <si>
    <t>3L</t>
    <phoneticPr fontId="3" type="noConversion"/>
  </si>
  <si>
    <t>1L</t>
    <phoneticPr fontId="3" type="noConversion"/>
  </si>
  <si>
    <t>19R</t>
    <phoneticPr fontId="3" type="noConversion"/>
  </si>
  <si>
    <t>10R</t>
    <phoneticPr fontId="3" type="noConversion"/>
  </si>
  <si>
    <t>賴修雅</t>
    <phoneticPr fontId="3" type="noConversion"/>
  </si>
  <si>
    <t>EnqTlnAltNo: 00105500158096460020</t>
    <phoneticPr fontId="3" type="noConversion"/>
  </si>
  <si>
    <r>
      <t>{
  "header": {
    "audit": {
      "T24_time": 87,
      "parse_time": 0
    },
    "page_start": 1,
    "page_token": "3773555062.01,99",
    "total_size": 1,
    "page_size": 99,
    "status": "success"
  },
  "body": [
    {
      "EnqSchedDate": "20220923",
      "EnqRepayPr": "100",
      "EnqCalcLoanRate": "3.57",
      "EnqValueDate": "20220923",
      "EnqRepayMaxAmt": "112.5",
      "EnqLoanOs": "8900",
      "EnqSchedLatepe": "0.00",
      "EnqEarlyPeAmt": "0.00",
      "EnqFtDateTime": "20 SEP 2022 15:15",
      "EnqTMnemonic": "F2539866080",
      "EnqTxnCode": "2",
      "EnqInpBr": "TW8070771",
      "EnqRecordKey": "FT222664LT3D",
      "EnqCalcIntEdDt": "20220923",
      "EnqAfUnpaidLatepe": "0",
      "EnqTLnAltNo": "00105500158096460020",
      "EnqCalcIntStDt": "20220909",
      "EnqTLnStartDate": "20220909",
      "EnqBfUnpaidLatepe": "0",
      "EnqTOrigAmount": "10000",
      "EnqFtId": "FT222664LT3D",
      "EnqInputter": "76868_CACA.02",
      "EnqTLnGlTerm": "068",
      "EnqName1": "</t>
    </r>
    <r>
      <rPr>
        <sz val="11"/>
        <color theme="1"/>
        <rFont val="細明體"/>
        <family val="3"/>
        <charset val="136"/>
      </rPr>
      <t>中文姓名</t>
    </r>
    <r>
      <rPr>
        <sz val="11"/>
        <color theme="1"/>
        <rFont val="Calibri"/>
        <family val="2"/>
      </rPr>
      <t>1362733",
      "EnqCurrency": "USD",
      "EnqBookingDate": "20220923",
      "EnqRepayIn": "0"
    }
  ]
}</t>
    </r>
    <phoneticPr fontId="3" type="noConversion"/>
  </si>
  <si>
    <t>EL0003</t>
    <phoneticPr fontId="3" type="noConversion"/>
  </si>
  <si>
    <t>TMB.LN.LD.MOVEMENT.DETAIL</t>
    <phoneticPr fontId="3" type="noConversion"/>
  </si>
  <si>
    <t>ENQ.T.LN.ALT.NO</t>
  </si>
  <si>
    <t>V</t>
    <phoneticPr fontId="3" type="noConversion"/>
  </si>
  <si>
    <t>T.LN.START.DATE</t>
  </si>
  <si>
    <t>RECORD.KEY</t>
  </si>
  <si>
    <t>BOOKING.DATE</t>
  </si>
  <si>
    <t>VALUE.DATE</t>
  </si>
  <si>
    <t>TXN.CODE</t>
  </si>
  <si>
    <t>CALC.LOAN.RATE</t>
  </si>
  <si>
    <t>CALC.INT.ST.DT</t>
  </si>
  <si>
    <t>CALC.INT.ED.DT</t>
  </si>
  <si>
    <t>LOAN.OS</t>
  </si>
  <si>
    <t>REPAY.PD.TOT</t>
  </si>
  <si>
    <t>REPAY.PR</t>
  </si>
  <si>
    <t>REPAY.IN</t>
  </si>
  <si>
    <t>REPAY.LAST.INT</t>
  </si>
  <si>
    <t>REPAY.SI</t>
  </si>
  <si>
    <t>REPAY.PE</t>
  </si>
  <si>
    <t>REPAY.EARLY.PE</t>
  </si>
  <si>
    <t>REPAY.MARK</t>
  </si>
  <si>
    <t>REPAY.MAX.AMT</t>
  </si>
  <si>
    <t>BF.UNPAID.LATEPE</t>
  </si>
  <si>
    <t>SCHED.LATEPE</t>
  </si>
  <si>
    <t>AF.UNPAID.LATEPE</t>
  </si>
  <si>
    <t>EARLY.PE.AMT</t>
  </si>
  <si>
    <t>LN.CLS.REASON</t>
  </si>
  <si>
    <t>LN.CLOSE.MARK</t>
  </si>
  <si>
    <t>LN.INSRECP</t>
  </si>
  <si>
    <t>FT.ID</t>
  </si>
  <si>
    <t>FT.DATE.TIME</t>
  </si>
  <si>
    <t>INPUTTER</t>
  </si>
  <si>
    <t>INP.BR</t>
  </si>
  <si>
    <t>CHK.DW</t>
  </si>
  <si>
    <t>CHK.BRNO</t>
  </si>
  <si>
    <t>CHK.BRNO.CD</t>
  </si>
  <si>
    <t>EnqTOrigAmount</t>
  </si>
  <si>
    <t>EnqRecordKey</t>
  </si>
  <si>
    <t>EnqBookingDate</t>
  </si>
  <si>
    <t>EnqValueDate</t>
  </si>
  <si>
    <t>EnqTxnCode</t>
  </si>
  <si>
    <t>EnqCalcLoanRate</t>
  </si>
  <si>
    <t>EnqCalcIntStDt</t>
  </si>
  <si>
    <t>EnqCalcIntEdDt</t>
  </si>
  <si>
    <t>EnqLoanOs</t>
  </si>
  <si>
    <t>EnqRepayPdTot</t>
  </si>
  <si>
    <t>EnqRepayPr</t>
  </si>
  <si>
    <t>EnqRepayIn</t>
  </si>
  <si>
    <t>EnqRepayLastInt</t>
  </si>
  <si>
    <t>EnqRepaySi</t>
  </si>
  <si>
    <t>EnqRepayPe</t>
  </si>
  <si>
    <t>EnqRepayEarlyPe</t>
  </si>
  <si>
    <t>EnqPayCheckFg</t>
  </si>
  <si>
    <t>EnqRepayMark</t>
  </si>
  <si>
    <t>EnqRepayMaxAmt</t>
  </si>
  <si>
    <t>EnqBfUnpaidLatepe</t>
  </si>
  <si>
    <t>EnqSchedLatepe</t>
  </si>
  <si>
    <t>EnqAfUnpaidLatepe</t>
  </si>
  <si>
    <t>EnqEarlyPeAmt</t>
  </si>
  <si>
    <t>EnqLnClsReason</t>
  </si>
  <si>
    <t>EnqLnCloseMark</t>
  </si>
  <si>
    <t>EnqLnInsrecp</t>
  </si>
  <si>
    <t>EnqFtId</t>
  </si>
  <si>
    <t>EnqFtRecordStatus</t>
  </si>
  <si>
    <t>EnqFtDateTime</t>
  </si>
  <si>
    <t>EnqInputter</t>
  </si>
  <si>
    <t>EnqInpBr</t>
  </si>
  <si>
    <t>EnqChkDw</t>
  </si>
  <si>
    <t>EnqChkBrno</t>
  </si>
  <si>
    <t>EnqChkBrnoCd</t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</si>
  <si>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</si>
  <si>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Length</t>
    <phoneticPr fontId="3" type="noConversion"/>
  </si>
  <si>
    <t>20L</t>
    <phoneticPr fontId="3" type="noConversion"/>
  </si>
  <si>
    <t>T.LN.GL.TERM</t>
    <phoneticPr fontId="3" type="noConversion"/>
  </si>
  <si>
    <t>T.ORIG.AMOUNT</t>
    <phoneticPr fontId="3" type="noConversion"/>
  </si>
  <si>
    <t>T.MNEMONIC</t>
    <phoneticPr fontId="3" type="noConversion"/>
  </si>
  <si>
    <t>T.LN.LNK.DEP.AC</t>
    <phoneticPr fontId="3" type="noConversion"/>
  </si>
  <si>
    <t>4L</t>
    <phoneticPr fontId="3" type="noConversion"/>
  </si>
  <si>
    <t>9L</t>
    <phoneticPr fontId="3" type="noConversion"/>
  </si>
  <si>
    <t>15R</t>
    <phoneticPr fontId="3" type="noConversion"/>
  </si>
  <si>
    <t>25L</t>
    <phoneticPr fontId="3" type="noConversion"/>
  </si>
  <si>
    <t>2L</t>
    <phoneticPr fontId="3" type="noConversion"/>
  </si>
  <si>
    <t>2L</t>
    <phoneticPr fontId="3" type="noConversion"/>
  </si>
  <si>
    <t>5L</t>
    <phoneticPr fontId="3" type="noConversion"/>
  </si>
  <si>
    <t>1L</t>
    <phoneticPr fontId="3" type="noConversion"/>
  </si>
  <si>
    <t>PAY.CHECK.FG</t>
    <phoneticPr fontId="3" type="noConversion"/>
  </si>
  <si>
    <t>11R</t>
    <phoneticPr fontId="3" type="noConversion"/>
  </si>
  <si>
    <t>XX.</t>
    <phoneticPr fontId="3" type="noConversion"/>
  </si>
  <si>
    <t>30L</t>
    <phoneticPr fontId="3" type="noConversion"/>
  </si>
  <si>
    <t>35L</t>
    <phoneticPr fontId="3" type="noConversion"/>
  </si>
  <si>
    <t>當日放款往來明細查詢</t>
    <phoneticPr fontId="3" type="noConversion"/>
  </si>
  <si>
    <t>應繳總額</t>
    <phoneticPr fontId="21" type="noConversion"/>
  </si>
  <si>
    <t>幣別</t>
    <phoneticPr fontId="21" type="noConversion"/>
  </si>
  <si>
    <t>優利型抵用帳號</t>
  </si>
  <si>
    <t>撥款金額</t>
  </si>
  <si>
    <t>戶名</t>
    <phoneticPr fontId="3" type="noConversion"/>
  </si>
  <si>
    <t>身份證號</t>
    <phoneticPr fontId="3" type="noConversion"/>
  </si>
  <si>
    <t>放款帳分號</t>
    <phoneticPr fontId="3" type="noConversion"/>
  </si>
  <si>
    <t>貸款起日</t>
    <phoneticPr fontId="21" type="noConversion"/>
  </si>
  <si>
    <t>交易行</t>
    <phoneticPr fontId="21" type="noConversion"/>
  </si>
  <si>
    <t>櫃員</t>
    <phoneticPr fontId="21" type="noConversion"/>
  </si>
  <si>
    <t>交易類型</t>
    <phoneticPr fontId="21" type="noConversion"/>
  </si>
  <si>
    <t>交易日期</t>
    <phoneticPr fontId="21" type="noConversion"/>
  </si>
  <si>
    <t>應繳日期</t>
    <phoneticPr fontId="21" type="noConversion"/>
  </si>
  <si>
    <t>生效日期</t>
    <phoneticPr fontId="21" type="noConversion"/>
  </si>
  <si>
    <t>計息起日</t>
    <phoneticPr fontId="21" type="noConversion"/>
  </si>
  <si>
    <t>計息止日</t>
    <phoneticPr fontId="21" type="noConversion"/>
  </si>
  <si>
    <t>利率</t>
    <phoneticPr fontId="21" type="noConversion"/>
  </si>
  <si>
    <t>違約金金額</t>
    <phoneticPr fontId="21" type="noConversion"/>
  </si>
  <si>
    <t>還款註記</t>
    <phoneticPr fontId="21" type="noConversion"/>
  </si>
  <si>
    <t>實收本金</t>
    <phoneticPr fontId="21" type="noConversion"/>
  </si>
  <si>
    <t>當期違約金</t>
    <phoneticPr fontId="21" type="noConversion"/>
  </si>
  <si>
    <t>違約金餘額</t>
    <phoneticPr fontId="21" type="noConversion"/>
  </si>
  <si>
    <t>前期違約金</t>
    <phoneticPr fontId="21" type="noConversion"/>
  </si>
  <si>
    <t>應收解約金</t>
    <phoneticPr fontId="21" type="noConversion"/>
  </si>
  <si>
    <t>陳筱雅</t>
    <phoneticPr fontId="3" type="noConversion"/>
  </si>
  <si>
    <t>調整Spec欄位中英文說明</t>
    <phoneticPr fontId="3" type="noConversion"/>
  </si>
  <si>
    <t>Loan account sequency number</t>
  </si>
  <si>
    <t>Currency</t>
  </si>
  <si>
    <t>Principal amount</t>
    <phoneticPr fontId="3" type="noConversion"/>
  </si>
  <si>
    <t>Customer ID number</t>
  </si>
  <si>
    <t>Customer name</t>
  </si>
  <si>
    <t>Specify short/medium/long term loan</t>
  </si>
  <si>
    <t>The start  date of the contract</t>
    <phoneticPr fontId="3" type="noConversion"/>
  </si>
  <si>
    <t>Repaid LD last unpaid interest amount</t>
    <phoneticPr fontId="3" type="noConversion"/>
  </si>
  <si>
    <t>EnqSchedDate</t>
    <phoneticPr fontId="3" type="noConversion"/>
  </si>
  <si>
    <t>Transaction code</t>
    <phoneticPr fontId="3" type="noConversion"/>
  </si>
  <si>
    <t>Loan rate</t>
    <phoneticPr fontId="3" type="noConversion"/>
  </si>
  <si>
    <t>Int start date</t>
    <phoneticPr fontId="3" type="noConversion"/>
  </si>
  <si>
    <t>Int end date</t>
    <phoneticPr fontId="3" type="noConversion"/>
  </si>
  <si>
    <t xml:space="preserve">loan outstanding after repayment </t>
    <phoneticPr fontId="3" type="noConversion"/>
  </si>
  <si>
    <t>Repaid PD interest amount</t>
    <phoneticPr fontId="3" type="noConversion"/>
  </si>
  <si>
    <t>Repaid LD principal amount</t>
    <phoneticPr fontId="3" type="noConversion"/>
  </si>
  <si>
    <t>Repaid LD interest amount</t>
    <phoneticPr fontId="3" type="noConversion"/>
  </si>
  <si>
    <t>FT@ID</t>
  </si>
  <si>
    <t>FT@ID date time</t>
    <phoneticPr fontId="3" type="noConversion"/>
  </si>
  <si>
    <t>送票行</t>
  </si>
  <si>
    <t>是否抽票</t>
  </si>
  <si>
    <t>Input user</t>
    <phoneticPr fontId="3" type="noConversion"/>
  </si>
  <si>
    <t>Input user branch</t>
    <phoneticPr fontId="3" type="noConversion"/>
  </si>
  <si>
    <r>
      <t>FT</t>
    </r>
    <r>
      <rPr>
        <sz val="11"/>
        <color theme="1"/>
        <rFont val="微軟正黑體"/>
        <family val="2"/>
        <charset val="136"/>
      </rPr>
      <t>交易序號</t>
    </r>
    <phoneticPr fontId="21" type="noConversion"/>
  </si>
  <si>
    <r>
      <t>FT</t>
    </r>
    <r>
      <rPr>
        <sz val="11"/>
        <color theme="1"/>
        <rFont val="微軟正黑體"/>
        <family val="2"/>
        <charset val="136"/>
      </rPr>
      <t>狀態</t>
    </r>
    <phoneticPr fontId="21" type="noConversion"/>
  </si>
  <si>
    <t>Repay mark</t>
    <phoneticPr fontId="3" type="noConversion"/>
  </si>
  <si>
    <t>Use check to repayment</t>
    <phoneticPr fontId="3" type="noConversion"/>
  </si>
  <si>
    <t>提前解約金/訴費</t>
    <phoneticPr fontId="21" type="noConversion"/>
  </si>
  <si>
    <t xml:space="preserve">Early Penalty fee or </t>
    <phoneticPr fontId="3" type="noConversion"/>
  </si>
  <si>
    <t>科目別</t>
  </si>
  <si>
    <t>Booking date</t>
    <phoneticPr fontId="3" type="noConversion"/>
  </si>
  <si>
    <t>Value date</t>
    <phoneticPr fontId="3" type="noConversion"/>
  </si>
  <si>
    <t>Due Amount</t>
    <phoneticPr fontId="3" type="noConversion"/>
  </si>
  <si>
    <t xml:space="preserve">Penalty of </t>
    <phoneticPr fontId="3" type="noConversion"/>
  </si>
  <si>
    <t>Penalty of this bill</t>
    <phoneticPr fontId="3" type="noConversion"/>
  </si>
  <si>
    <t>Unpaid penalty after repaid</t>
    <phoneticPr fontId="3" type="noConversion"/>
  </si>
  <si>
    <t>Early repaid penalty</t>
    <phoneticPr fontId="3" type="noConversion"/>
  </si>
  <si>
    <t>Reason of settlement</t>
    <phoneticPr fontId="3" type="noConversion"/>
  </si>
  <si>
    <t>Mark of the loan closed</t>
    <phoneticPr fontId="3" type="noConversion"/>
  </si>
  <si>
    <t>The flag of printing interest receipt</t>
    <phoneticPr fontId="3" type="noConversion"/>
  </si>
  <si>
    <t>FT.RECORD.STATUS</t>
    <phoneticPr fontId="3" type="noConversion"/>
  </si>
  <si>
    <t>Record status of FT@ID</t>
    <phoneticPr fontId="3" type="noConversion"/>
  </si>
  <si>
    <t>Repaid LD late penalty amount</t>
    <phoneticPr fontId="3" type="noConversion"/>
  </si>
  <si>
    <t>Loan repayment schedule date</t>
    <phoneticPr fontId="3" type="noConversion"/>
  </si>
  <si>
    <t>Deposit account number which linked to loan</t>
    <phoneticPr fontId="3" type="noConversion"/>
  </si>
  <si>
    <t>Repaid LD Special interest</t>
    <phoneticPr fontId="3" type="noConversion"/>
  </si>
  <si>
    <t>本金餘額</t>
    <phoneticPr fontId="21" type="noConversion"/>
  </si>
  <si>
    <t>催呆收回金額</t>
    <phoneticPr fontId="21" type="noConversion"/>
  </si>
  <si>
    <t>實收利息</t>
    <phoneticPr fontId="21" type="noConversion"/>
  </si>
  <si>
    <t>實收前段未收息</t>
    <phoneticPr fontId="21" type="noConversion"/>
  </si>
  <si>
    <t>實收寛緩息</t>
    <phoneticPr fontId="21" type="noConversion"/>
  </si>
  <si>
    <t>票據繳款</t>
    <phoneticPr fontId="21" type="noConversion"/>
  </si>
  <si>
    <t>清償原因</t>
    <phoneticPr fontId="21" type="noConversion"/>
  </si>
  <si>
    <t>結案註記</t>
    <phoneticPr fontId="21" type="noConversion"/>
  </si>
  <si>
    <t>利息收據列印註記</t>
    <phoneticPr fontId="21" type="noConversion"/>
  </si>
  <si>
    <r>
      <rPr>
        <sz val="11"/>
        <color theme="1"/>
        <rFont val="新細明體"/>
        <family val="1"/>
        <charset val="136"/>
        <scheme val="minor"/>
      </rPr>
      <t>往來明細@ID</t>
    </r>
    <phoneticPr fontId="21" type="noConversion"/>
  </si>
  <si>
    <t>Cheque cancel or not</t>
    <phoneticPr fontId="3" type="noConversion"/>
  </si>
  <si>
    <r>
      <rPr>
        <sz val="11"/>
        <color theme="1"/>
        <rFont val="微軟正黑體"/>
        <family val="2"/>
        <charset val="136"/>
      </rPr>
      <t>送票行區域中心</t>
    </r>
    <phoneticPr fontId="3" type="noConversion"/>
  </si>
  <si>
    <t>Delivery branch of Cheque</t>
    <phoneticPr fontId="3" type="noConversion"/>
  </si>
  <si>
    <t>Delivery branch area of Cheque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</si>
</sst>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Microsoft JhengHei Light"/>
      <family val="2"/>
      <charset val="136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0" fillId="0" borderId="0" xfId="0" quotePrefix="1" applyFont="1" applyBorder="1"/>
    <xf numFmtId="0" fontId="14" fillId="0" borderId="6" xfId="0" applyFont="1" applyBorder="1"/>
    <xf numFmtId="0" fontId="18" fillId="4" borderId="11" xfId="0" applyFont="1" applyFill="1" applyBorder="1" applyAlignment="1">
      <alignment horizontal="left"/>
    </xf>
    <xf numFmtId="0" fontId="10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D5" sqref="D5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2" t="s">
        <v>18</v>
      </c>
      <c r="B1" s="43"/>
      <c r="C1" s="43"/>
      <c r="D1" s="43"/>
      <c r="E1" s="43"/>
    </row>
    <row r="2" spans="1:5" ht="20.100000000000001" customHeight="1" thickBot="1" x14ac:dyDescent="0.3">
      <c r="A2" s="39" t="s">
        <v>43</v>
      </c>
      <c r="B2" s="40"/>
      <c r="C2" s="40"/>
      <c r="D2" s="40"/>
      <c r="E2" s="41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44824</v>
      </c>
      <c r="C4" s="5" t="s">
        <v>6</v>
      </c>
      <c r="D4" s="33" t="s">
        <v>62</v>
      </c>
      <c r="E4" s="4" t="s">
        <v>7</v>
      </c>
    </row>
    <row r="5" spans="1:5" ht="16.5" thickBot="1" x14ac:dyDescent="0.3">
      <c r="A5" s="3">
        <v>1.1000000000000001</v>
      </c>
      <c r="B5" s="6">
        <v>44825</v>
      </c>
      <c r="C5" s="5" t="s">
        <v>181</v>
      </c>
      <c r="D5" s="33" t="s">
        <v>180</v>
      </c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58"/>
  <sheetViews>
    <sheetView tabSelected="1" topLeftCell="A22" zoomScale="90" zoomScaleNormal="90" workbookViewId="0">
      <selection activeCell="H55" sqref="H55"/>
    </sheetView>
  </sheetViews>
  <sheetFormatPr defaultColWidth="8.85546875" defaultRowHeight="15" x14ac:dyDescent="0.25"/>
  <cols>
    <col min="1" max="1" width="4.28515625" style="9" bestFit="1" customWidth="1"/>
    <col min="2" max="2" width="34.42578125" style="9" customWidth="1"/>
    <col min="3" max="3" width="72.85546875" style="12" customWidth="1"/>
    <col min="4" max="4" width="18.5703125" style="12" customWidth="1"/>
    <col min="5" max="5" width="34.140625" style="12" customWidth="1"/>
    <col min="6" max="6" width="26.28515625" style="12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1:8" x14ac:dyDescent="0.25">
      <c r="B1" s="10" t="s">
        <v>47</v>
      </c>
      <c r="C1" s="11" t="s">
        <v>65</v>
      </c>
    </row>
    <row r="2" spans="1:8" x14ac:dyDescent="0.25">
      <c r="B2" s="10" t="s">
        <v>44</v>
      </c>
      <c r="C2" s="36" t="s">
        <v>155</v>
      </c>
    </row>
    <row r="3" spans="1:8" x14ac:dyDescent="0.25">
      <c r="B3" s="10" t="s">
        <v>8</v>
      </c>
      <c r="C3" s="11" t="str">
        <f>+"/api/v1.0.0/party/"&amp;C1</f>
        <v>/api/v1.0.0/party/EL0003</v>
      </c>
    </row>
    <row r="4" spans="1:8" ht="60" x14ac:dyDescent="0.25">
      <c r="B4" s="10" t="s">
        <v>20</v>
      </c>
      <c r="C4" s="13" t="s">
        <v>135</v>
      </c>
    </row>
    <row r="5" spans="1:8" x14ac:dyDescent="0.25">
      <c r="B5" s="10" t="s">
        <v>35</v>
      </c>
      <c r="C5" s="11" t="s">
        <v>9</v>
      </c>
    </row>
    <row r="6" spans="1:8" x14ac:dyDescent="0.25">
      <c r="B6" s="10" t="s">
        <v>19</v>
      </c>
      <c r="C6" s="11" t="s">
        <v>10</v>
      </c>
    </row>
    <row r="7" spans="1:8" x14ac:dyDescent="0.25">
      <c r="B7" s="10" t="s">
        <v>40</v>
      </c>
      <c r="C7" s="11" t="s">
        <v>66</v>
      </c>
    </row>
    <row r="8" spans="1:8" x14ac:dyDescent="0.25">
      <c r="B8" s="10" t="s">
        <v>22</v>
      </c>
      <c r="C8" s="11" t="str">
        <f>+"ENQ.API."&amp;$C$1&amp;".1.0.0"</f>
        <v>ENQ.API.EL0003.1.0.0</v>
      </c>
    </row>
    <row r="9" spans="1:8" x14ac:dyDescent="0.25">
      <c r="B9" s="12"/>
    </row>
    <row r="10" spans="1:8" x14ac:dyDescent="0.25">
      <c r="B10" s="12"/>
    </row>
    <row r="11" spans="1:8" x14ac:dyDescent="0.25">
      <c r="B11" s="10" t="s">
        <v>11</v>
      </c>
      <c r="C11" s="14" t="s">
        <v>45</v>
      </c>
      <c r="D11" s="10" t="s">
        <v>12</v>
      </c>
      <c r="E11" s="15" t="s">
        <v>48</v>
      </c>
    </row>
    <row r="12" spans="1:8" x14ac:dyDescent="0.25">
      <c r="B12" s="16" t="s">
        <v>67</v>
      </c>
      <c r="C12" s="17" t="s">
        <v>24</v>
      </c>
      <c r="D12" s="11" t="s">
        <v>21</v>
      </c>
      <c r="E12" s="11" t="s">
        <v>68</v>
      </c>
    </row>
    <row r="13" spans="1:8" x14ac:dyDescent="0.25">
      <c r="B13" s="12"/>
      <c r="D13" s="18"/>
    </row>
    <row r="14" spans="1:8" x14ac:dyDescent="0.25">
      <c r="A14" s="19"/>
      <c r="B14" s="18"/>
      <c r="C14" s="19"/>
      <c r="D14" s="18"/>
      <c r="E14" s="18"/>
      <c r="F14" s="18"/>
    </row>
    <row r="15" spans="1:8" s="22" customFormat="1" x14ac:dyDescent="0.25">
      <c r="A15" s="20" t="s">
        <v>13</v>
      </c>
      <c r="B15" s="20" t="s">
        <v>14</v>
      </c>
      <c r="C15" s="20" t="s">
        <v>46</v>
      </c>
      <c r="D15" s="21" t="s">
        <v>33</v>
      </c>
      <c r="E15" s="20" t="s">
        <v>15</v>
      </c>
      <c r="F15" s="20" t="s">
        <v>136</v>
      </c>
      <c r="G15" s="20" t="s">
        <v>34</v>
      </c>
      <c r="H15" s="20" t="s">
        <v>34</v>
      </c>
    </row>
    <row r="16" spans="1:8" s="22" customFormat="1" x14ac:dyDescent="0.25">
      <c r="A16" s="34"/>
      <c r="B16" s="37" t="s">
        <v>49</v>
      </c>
      <c r="C16" s="37" t="s">
        <v>50</v>
      </c>
      <c r="D16" s="37" t="s">
        <v>51</v>
      </c>
      <c r="E16" s="37" t="s">
        <v>52</v>
      </c>
      <c r="F16" s="37" t="s">
        <v>53</v>
      </c>
      <c r="G16" s="37" t="s">
        <v>54</v>
      </c>
      <c r="H16" s="37" t="s">
        <v>55</v>
      </c>
    </row>
    <row r="17" spans="1:8" x14ac:dyDescent="0.25">
      <c r="A17" s="12">
        <v>1</v>
      </c>
      <c r="B17" s="35" t="s">
        <v>23</v>
      </c>
      <c r="C17" s="35" t="s">
        <v>24</v>
      </c>
      <c r="D17" s="38"/>
      <c r="E17" s="38"/>
      <c r="F17" s="38" t="s">
        <v>137</v>
      </c>
      <c r="G17" s="35" t="s">
        <v>162</v>
      </c>
      <c r="H17" s="35" t="s">
        <v>182</v>
      </c>
    </row>
    <row r="18" spans="1:8" x14ac:dyDescent="0.25">
      <c r="A18" s="12">
        <v>2</v>
      </c>
      <c r="B18" s="35" t="s">
        <v>27</v>
      </c>
      <c r="C18" s="35" t="s">
        <v>28</v>
      </c>
      <c r="D18" s="38"/>
      <c r="E18" s="38"/>
      <c r="F18" s="38" t="s">
        <v>58</v>
      </c>
      <c r="G18" s="35" t="s">
        <v>157</v>
      </c>
      <c r="H18" s="35" t="s">
        <v>183</v>
      </c>
    </row>
    <row r="19" spans="1:8" x14ac:dyDescent="0.25">
      <c r="A19" s="12">
        <v>3</v>
      </c>
      <c r="B19" s="35" t="s">
        <v>138</v>
      </c>
      <c r="C19" s="35" t="s">
        <v>29</v>
      </c>
      <c r="D19" s="38"/>
      <c r="E19" s="38"/>
      <c r="F19" s="38" t="s">
        <v>58</v>
      </c>
      <c r="G19" s="35" t="s">
        <v>211</v>
      </c>
      <c r="H19" s="35" t="s">
        <v>187</v>
      </c>
    </row>
    <row r="20" spans="1:8" x14ac:dyDescent="0.25">
      <c r="A20" s="12">
        <v>4</v>
      </c>
      <c r="B20" s="35" t="s">
        <v>139</v>
      </c>
      <c r="C20" s="35" t="s">
        <v>101</v>
      </c>
      <c r="D20" s="38"/>
      <c r="E20" s="38"/>
      <c r="F20" s="38" t="s">
        <v>60</v>
      </c>
      <c r="G20" s="35" t="s">
        <v>159</v>
      </c>
      <c r="H20" s="35" t="s">
        <v>184</v>
      </c>
    </row>
    <row r="21" spans="1:8" x14ac:dyDescent="0.25">
      <c r="A21" s="12">
        <v>5</v>
      </c>
      <c r="B21" s="35" t="s">
        <v>140</v>
      </c>
      <c r="C21" s="35" t="s">
        <v>25</v>
      </c>
      <c r="D21" s="38"/>
      <c r="E21" s="38"/>
      <c r="F21" s="38" t="s">
        <v>56</v>
      </c>
      <c r="G21" s="35" t="s">
        <v>161</v>
      </c>
      <c r="H21" s="35" t="s">
        <v>185</v>
      </c>
    </row>
    <row r="22" spans="1:8" x14ac:dyDescent="0.25">
      <c r="A22" s="12">
        <v>6</v>
      </c>
      <c r="B22" s="35" t="s">
        <v>16</v>
      </c>
      <c r="C22" s="35" t="s">
        <v>26</v>
      </c>
      <c r="D22" s="38"/>
      <c r="E22" s="38"/>
      <c r="F22" s="38" t="s">
        <v>154</v>
      </c>
      <c r="G22" s="35" t="s">
        <v>160</v>
      </c>
      <c r="H22" s="35" t="s">
        <v>186</v>
      </c>
    </row>
    <row r="23" spans="1:8" x14ac:dyDescent="0.25">
      <c r="A23" s="12">
        <v>7</v>
      </c>
      <c r="B23" s="35" t="s">
        <v>69</v>
      </c>
      <c r="C23" s="35" t="s">
        <v>32</v>
      </c>
      <c r="D23" s="38"/>
      <c r="E23" s="38"/>
      <c r="F23" s="38" t="s">
        <v>57</v>
      </c>
      <c r="G23" s="35" t="s">
        <v>163</v>
      </c>
      <c r="H23" s="35" t="s">
        <v>188</v>
      </c>
    </row>
    <row r="24" spans="1:8" x14ac:dyDescent="0.25">
      <c r="A24" s="12">
        <v>8</v>
      </c>
      <c r="B24" s="35" t="s">
        <v>141</v>
      </c>
      <c r="C24" s="35" t="s">
        <v>30</v>
      </c>
      <c r="D24" s="38"/>
      <c r="E24" s="38"/>
      <c r="F24" s="38" t="s">
        <v>137</v>
      </c>
      <c r="G24" s="35" t="s">
        <v>158</v>
      </c>
      <c r="H24" s="35" t="s">
        <v>226</v>
      </c>
    </row>
    <row r="25" spans="1:8" ht="15.75" x14ac:dyDescent="0.25">
      <c r="A25" s="12">
        <v>9</v>
      </c>
      <c r="B25" s="35" t="s">
        <v>70</v>
      </c>
      <c r="C25" s="35" t="s">
        <v>102</v>
      </c>
      <c r="D25" s="38"/>
      <c r="E25" s="38"/>
      <c r="F25" s="38" t="s">
        <v>153</v>
      </c>
      <c r="G25" s="35" t="s">
        <v>237</v>
      </c>
      <c r="H25" s="35" t="s">
        <v>199</v>
      </c>
    </row>
    <row r="26" spans="1:8" x14ac:dyDescent="0.25">
      <c r="A26" s="12">
        <v>10</v>
      </c>
      <c r="B26" s="35" t="s">
        <v>71</v>
      </c>
      <c r="C26" s="35" t="s">
        <v>103</v>
      </c>
      <c r="D26" s="38"/>
      <c r="E26" s="38"/>
      <c r="F26" s="38" t="s">
        <v>151</v>
      </c>
      <c r="G26" s="35" t="s">
        <v>167</v>
      </c>
      <c r="H26" s="35" t="s">
        <v>212</v>
      </c>
    </row>
    <row r="27" spans="1:8" x14ac:dyDescent="0.25">
      <c r="A27" s="12">
        <v>11</v>
      </c>
      <c r="B27" s="35" t="s">
        <v>72</v>
      </c>
      <c r="C27" s="35" t="s">
        <v>104</v>
      </c>
      <c r="D27" s="38"/>
      <c r="E27" s="38"/>
      <c r="F27" s="38" t="s">
        <v>151</v>
      </c>
      <c r="G27" s="35" t="s">
        <v>169</v>
      </c>
      <c r="H27" s="35" t="s">
        <v>213</v>
      </c>
    </row>
    <row r="28" spans="1:8" x14ac:dyDescent="0.25">
      <c r="A28" s="12">
        <v>12</v>
      </c>
      <c r="B28" s="35" t="s">
        <v>73</v>
      </c>
      <c r="C28" s="35" t="s">
        <v>105</v>
      </c>
      <c r="D28" s="38"/>
      <c r="E28" s="38"/>
      <c r="F28" s="38" t="s">
        <v>147</v>
      </c>
      <c r="G28" s="35" t="s">
        <v>166</v>
      </c>
      <c r="H28" s="35" t="s">
        <v>191</v>
      </c>
    </row>
    <row r="29" spans="1:8" x14ac:dyDescent="0.25">
      <c r="A29" s="12">
        <v>13</v>
      </c>
      <c r="B29" s="35" t="s">
        <v>31</v>
      </c>
      <c r="C29" s="35" t="s">
        <v>190</v>
      </c>
      <c r="D29" s="38"/>
      <c r="E29" s="38"/>
      <c r="F29" s="38" t="s">
        <v>151</v>
      </c>
      <c r="G29" s="35" t="s">
        <v>168</v>
      </c>
      <c r="H29" s="35" t="s">
        <v>225</v>
      </c>
    </row>
    <row r="30" spans="1:8" x14ac:dyDescent="0.25">
      <c r="A30" s="12">
        <v>14</v>
      </c>
      <c r="B30" s="35" t="s">
        <v>74</v>
      </c>
      <c r="C30" s="35" t="s">
        <v>106</v>
      </c>
      <c r="D30" s="38"/>
      <c r="E30" s="38" t="s">
        <v>152</v>
      </c>
      <c r="F30" s="38" t="s">
        <v>61</v>
      </c>
      <c r="G30" s="35" t="s">
        <v>172</v>
      </c>
      <c r="H30" s="35" t="s">
        <v>192</v>
      </c>
    </row>
    <row r="31" spans="1:8" x14ac:dyDescent="0.25">
      <c r="A31" s="12">
        <v>15</v>
      </c>
      <c r="B31" s="35" t="s">
        <v>75</v>
      </c>
      <c r="C31" s="35" t="s">
        <v>107</v>
      </c>
      <c r="D31" s="38"/>
      <c r="E31" s="38" t="s">
        <v>152</v>
      </c>
      <c r="F31" s="38" t="s">
        <v>151</v>
      </c>
      <c r="G31" s="35" t="s">
        <v>170</v>
      </c>
      <c r="H31" s="35" t="s">
        <v>193</v>
      </c>
    </row>
    <row r="32" spans="1:8" x14ac:dyDescent="0.25">
      <c r="A32" s="12">
        <v>16</v>
      </c>
      <c r="B32" s="35" t="s">
        <v>76</v>
      </c>
      <c r="C32" s="35" t="s">
        <v>108</v>
      </c>
      <c r="D32" s="38"/>
      <c r="E32" s="38" t="s">
        <v>152</v>
      </c>
      <c r="F32" s="38" t="s">
        <v>151</v>
      </c>
      <c r="G32" s="35" t="s">
        <v>171</v>
      </c>
      <c r="H32" s="35" t="s">
        <v>194</v>
      </c>
    </row>
    <row r="33" spans="1:8" x14ac:dyDescent="0.25">
      <c r="A33" s="12">
        <v>17</v>
      </c>
      <c r="B33" s="35" t="s">
        <v>77</v>
      </c>
      <c r="C33" s="35" t="s">
        <v>109</v>
      </c>
      <c r="D33" s="38"/>
      <c r="E33" s="38"/>
      <c r="F33" s="38" t="s">
        <v>60</v>
      </c>
      <c r="G33" s="35" t="s">
        <v>228</v>
      </c>
      <c r="H33" s="35" t="s">
        <v>195</v>
      </c>
    </row>
    <row r="34" spans="1:8" x14ac:dyDescent="0.25">
      <c r="A34" s="12">
        <v>18</v>
      </c>
      <c r="B34" s="35" t="s">
        <v>78</v>
      </c>
      <c r="C34" s="35" t="s">
        <v>110</v>
      </c>
      <c r="D34" s="38"/>
      <c r="E34" s="38"/>
      <c r="F34" s="38" t="s">
        <v>60</v>
      </c>
      <c r="G34" s="35" t="s">
        <v>229</v>
      </c>
      <c r="H34" s="35" t="s">
        <v>196</v>
      </c>
    </row>
    <row r="35" spans="1:8" x14ac:dyDescent="0.25">
      <c r="A35" s="12">
        <v>19</v>
      </c>
      <c r="B35" s="35" t="s">
        <v>79</v>
      </c>
      <c r="C35" s="35" t="s">
        <v>111</v>
      </c>
      <c r="D35" s="38"/>
      <c r="E35" s="38"/>
      <c r="F35" s="38" t="s">
        <v>60</v>
      </c>
      <c r="G35" s="35" t="s">
        <v>175</v>
      </c>
      <c r="H35" s="35" t="s">
        <v>197</v>
      </c>
    </row>
    <row r="36" spans="1:8" ht="14.45" customHeight="1" x14ac:dyDescent="0.25">
      <c r="A36" s="12">
        <v>20</v>
      </c>
      <c r="B36" s="35" t="s">
        <v>80</v>
      </c>
      <c r="C36" s="35" t="s">
        <v>112</v>
      </c>
      <c r="D36" s="38"/>
      <c r="E36" s="38"/>
      <c r="F36" s="38" t="s">
        <v>60</v>
      </c>
      <c r="G36" s="35" t="s">
        <v>230</v>
      </c>
      <c r="H36" s="35" t="s">
        <v>198</v>
      </c>
    </row>
    <row r="37" spans="1:8" x14ac:dyDescent="0.25">
      <c r="A37" s="12">
        <v>21</v>
      </c>
      <c r="B37" s="35" t="s">
        <v>81</v>
      </c>
      <c r="C37" s="35" t="s">
        <v>113</v>
      </c>
      <c r="D37" s="38"/>
      <c r="E37" s="38"/>
      <c r="F37" s="38" t="s">
        <v>60</v>
      </c>
      <c r="G37" s="35" t="s">
        <v>231</v>
      </c>
      <c r="H37" s="35" t="s">
        <v>189</v>
      </c>
    </row>
    <row r="38" spans="1:8" x14ac:dyDescent="0.25">
      <c r="A38" s="12">
        <v>22</v>
      </c>
      <c r="B38" s="35" t="s">
        <v>82</v>
      </c>
      <c r="C38" s="35" t="s">
        <v>114</v>
      </c>
      <c r="D38" s="38"/>
      <c r="E38" s="38"/>
      <c r="F38" s="38" t="s">
        <v>60</v>
      </c>
      <c r="G38" s="35" t="s">
        <v>232</v>
      </c>
      <c r="H38" s="35" t="s">
        <v>227</v>
      </c>
    </row>
    <row r="39" spans="1:8" x14ac:dyDescent="0.25">
      <c r="A39" s="12">
        <v>23</v>
      </c>
      <c r="B39" s="35" t="s">
        <v>83</v>
      </c>
      <c r="C39" s="35" t="s">
        <v>115</v>
      </c>
      <c r="D39" s="38"/>
      <c r="E39" s="38"/>
      <c r="F39" s="38" t="s">
        <v>60</v>
      </c>
      <c r="G39" s="35" t="s">
        <v>173</v>
      </c>
      <c r="H39" s="35" t="s">
        <v>224</v>
      </c>
    </row>
    <row r="40" spans="1:8" x14ac:dyDescent="0.25">
      <c r="A40" s="12">
        <v>24</v>
      </c>
      <c r="B40" s="35" t="s">
        <v>84</v>
      </c>
      <c r="C40" s="35" t="s">
        <v>116</v>
      </c>
      <c r="D40" s="38"/>
      <c r="E40" s="38"/>
      <c r="F40" s="38" t="s">
        <v>60</v>
      </c>
      <c r="G40" s="35" t="s">
        <v>209</v>
      </c>
      <c r="H40" s="12" t="s">
        <v>210</v>
      </c>
    </row>
    <row r="41" spans="1:8" x14ac:dyDescent="0.25">
      <c r="A41" s="12">
        <v>25</v>
      </c>
      <c r="B41" s="35" t="s">
        <v>150</v>
      </c>
      <c r="C41" s="35" t="s">
        <v>117</v>
      </c>
      <c r="D41" s="38"/>
      <c r="E41" s="38"/>
      <c r="F41" s="38" t="s">
        <v>149</v>
      </c>
      <c r="G41" s="35" t="s">
        <v>233</v>
      </c>
      <c r="H41" s="35" t="s">
        <v>208</v>
      </c>
    </row>
    <row r="42" spans="1:8" x14ac:dyDescent="0.25">
      <c r="A42" s="12">
        <v>26</v>
      </c>
      <c r="B42" s="35" t="s">
        <v>85</v>
      </c>
      <c r="C42" s="35" t="s">
        <v>118</v>
      </c>
      <c r="D42" s="38"/>
      <c r="E42" s="38"/>
      <c r="F42" s="38" t="s">
        <v>148</v>
      </c>
      <c r="G42" s="35" t="s">
        <v>174</v>
      </c>
      <c r="H42" s="35" t="s">
        <v>207</v>
      </c>
    </row>
    <row r="43" spans="1:8" x14ac:dyDescent="0.25">
      <c r="A43" s="12">
        <v>27</v>
      </c>
      <c r="B43" s="35" t="s">
        <v>86</v>
      </c>
      <c r="C43" s="35" t="s">
        <v>119</v>
      </c>
      <c r="D43" s="38"/>
      <c r="E43" s="38"/>
      <c r="F43" s="38" t="s">
        <v>60</v>
      </c>
      <c r="G43" s="35" t="s">
        <v>156</v>
      </c>
      <c r="H43" s="35" t="s">
        <v>214</v>
      </c>
    </row>
    <row r="44" spans="1:8" x14ac:dyDescent="0.25">
      <c r="A44" s="12">
        <v>28</v>
      </c>
      <c r="B44" s="35" t="s">
        <v>87</v>
      </c>
      <c r="C44" s="35" t="s">
        <v>120</v>
      </c>
      <c r="D44" s="38"/>
      <c r="E44" s="38"/>
      <c r="F44" s="38" t="s">
        <v>60</v>
      </c>
      <c r="G44" s="35" t="s">
        <v>178</v>
      </c>
      <c r="H44" s="35" t="s">
        <v>215</v>
      </c>
    </row>
    <row r="45" spans="1:8" x14ac:dyDescent="0.25">
      <c r="A45" s="12">
        <v>29</v>
      </c>
      <c r="B45" s="35" t="s">
        <v>88</v>
      </c>
      <c r="C45" s="35" t="s">
        <v>121</v>
      </c>
      <c r="D45" s="38"/>
      <c r="E45" s="38"/>
      <c r="F45" s="38" t="s">
        <v>60</v>
      </c>
      <c r="G45" s="35" t="s">
        <v>176</v>
      </c>
      <c r="H45" s="35" t="s">
        <v>216</v>
      </c>
    </row>
    <row r="46" spans="1:8" x14ac:dyDescent="0.25">
      <c r="A46" s="12">
        <v>30</v>
      </c>
      <c r="B46" s="35" t="s">
        <v>89</v>
      </c>
      <c r="C46" s="35" t="s">
        <v>122</v>
      </c>
      <c r="D46" s="38"/>
      <c r="E46" s="38"/>
      <c r="F46" s="38" t="s">
        <v>60</v>
      </c>
      <c r="G46" s="35" t="s">
        <v>177</v>
      </c>
      <c r="H46" s="35" t="s">
        <v>217</v>
      </c>
    </row>
    <row r="47" spans="1:8" x14ac:dyDescent="0.25">
      <c r="A47" s="12">
        <v>31</v>
      </c>
      <c r="B47" s="35" t="s">
        <v>90</v>
      </c>
      <c r="C47" s="35" t="s">
        <v>123</v>
      </c>
      <c r="D47" s="38"/>
      <c r="E47" s="38"/>
      <c r="F47" s="38" t="s">
        <v>60</v>
      </c>
      <c r="G47" s="35" t="s">
        <v>179</v>
      </c>
      <c r="H47" s="35" t="s">
        <v>218</v>
      </c>
    </row>
    <row r="48" spans="1:8" ht="14.45" customHeight="1" x14ac:dyDescent="0.25">
      <c r="A48" s="12">
        <v>32</v>
      </c>
      <c r="B48" s="35" t="s">
        <v>91</v>
      </c>
      <c r="C48" s="35" t="s">
        <v>124</v>
      </c>
      <c r="D48" s="38"/>
      <c r="E48" s="38"/>
      <c r="F48" s="38" t="s">
        <v>148</v>
      </c>
      <c r="G48" s="35" t="s">
        <v>234</v>
      </c>
      <c r="H48" s="35" t="s">
        <v>219</v>
      </c>
    </row>
    <row r="49" spans="1:8" x14ac:dyDescent="0.25">
      <c r="A49" s="12">
        <v>33</v>
      </c>
      <c r="B49" s="35" t="s">
        <v>92</v>
      </c>
      <c r="C49" s="35" t="s">
        <v>125</v>
      </c>
      <c r="D49" s="38"/>
      <c r="E49" s="38"/>
      <c r="F49" s="38" t="s">
        <v>147</v>
      </c>
      <c r="G49" s="35" t="s">
        <v>235</v>
      </c>
      <c r="H49" s="35" t="s">
        <v>220</v>
      </c>
    </row>
    <row r="50" spans="1:8" x14ac:dyDescent="0.25">
      <c r="A50" s="12">
        <v>34</v>
      </c>
      <c r="B50" s="35" t="s">
        <v>93</v>
      </c>
      <c r="C50" s="35" t="s">
        <v>126</v>
      </c>
      <c r="D50" s="38"/>
      <c r="E50" s="38"/>
      <c r="F50" s="38" t="s">
        <v>147</v>
      </c>
      <c r="G50" s="35" t="s">
        <v>236</v>
      </c>
      <c r="H50" s="35" t="s">
        <v>221</v>
      </c>
    </row>
    <row r="51" spans="1:8" x14ac:dyDescent="0.25">
      <c r="A51" s="12">
        <v>35</v>
      </c>
      <c r="B51" s="35" t="s">
        <v>94</v>
      </c>
      <c r="C51" s="35" t="s">
        <v>127</v>
      </c>
      <c r="D51" s="38"/>
      <c r="E51" s="38"/>
      <c r="F51" s="38" t="s">
        <v>145</v>
      </c>
      <c r="G51" s="35" t="s">
        <v>205</v>
      </c>
      <c r="H51" s="35" t="s">
        <v>199</v>
      </c>
    </row>
    <row r="52" spans="1:8" x14ac:dyDescent="0.25">
      <c r="A52" s="12">
        <v>36</v>
      </c>
      <c r="B52" s="35" t="s">
        <v>222</v>
      </c>
      <c r="C52" s="35" t="s">
        <v>128</v>
      </c>
      <c r="D52" s="38"/>
      <c r="E52" s="38"/>
      <c r="F52" s="38" t="s">
        <v>142</v>
      </c>
      <c r="G52" s="35" t="s">
        <v>206</v>
      </c>
      <c r="H52" s="35" t="s">
        <v>223</v>
      </c>
    </row>
    <row r="53" spans="1:8" x14ac:dyDescent="0.25">
      <c r="A53" s="12">
        <v>37</v>
      </c>
      <c r="B53" s="35" t="s">
        <v>95</v>
      </c>
      <c r="C53" s="35" t="s">
        <v>129</v>
      </c>
      <c r="D53" s="38"/>
      <c r="E53" s="38"/>
      <c r="F53" s="38" t="s">
        <v>144</v>
      </c>
      <c r="G53" s="35" t="s">
        <v>205</v>
      </c>
      <c r="H53" s="35" t="s">
        <v>200</v>
      </c>
    </row>
    <row r="54" spans="1:8" x14ac:dyDescent="0.25">
      <c r="A54" s="12">
        <v>38</v>
      </c>
      <c r="B54" s="35" t="s">
        <v>96</v>
      </c>
      <c r="C54" s="35" t="s">
        <v>130</v>
      </c>
      <c r="D54" s="38"/>
      <c r="E54" s="38"/>
      <c r="F54" s="38" t="s">
        <v>137</v>
      </c>
      <c r="G54" s="35" t="s">
        <v>165</v>
      </c>
      <c r="H54" s="35" t="s">
        <v>203</v>
      </c>
    </row>
    <row r="55" spans="1:8" x14ac:dyDescent="0.25">
      <c r="A55" s="12">
        <v>39</v>
      </c>
      <c r="B55" s="35" t="s">
        <v>97</v>
      </c>
      <c r="C55" s="35" t="s">
        <v>131</v>
      </c>
      <c r="D55" s="38"/>
      <c r="E55" s="38"/>
      <c r="F55" s="38" t="s">
        <v>143</v>
      </c>
      <c r="G55" s="35" t="s">
        <v>164</v>
      </c>
      <c r="H55" s="35" t="s">
        <v>204</v>
      </c>
    </row>
    <row r="56" spans="1:8" x14ac:dyDescent="0.25">
      <c r="A56" s="12">
        <v>40</v>
      </c>
      <c r="B56" s="35" t="s">
        <v>98</v>
      </c>
      <c r="C56" s="35" t="s">
        <v>132</v>
      </c>
      <c r="D56" s="38"/>
      <c r="E56" s="38"/>
      <c r="F56" s="38" t="s">
        <v>59</v>
      </c>
      <c r="G56" s="35" t="s">
        <v>202</v>
      </c>
      <c r="H56" s="35" t="s">
        <v>238</v>
      </c>
    </row>
    <row r="57" spans="1:8" x14ac:dyDescent="0.25">
      <c r="A57" s="12">
        <v>41</v>
      </c>
      <c r="B57" s="35" t="s">
        <v>99</v>
      </c>
      <c r="C57" s="35" t="s">
        <v>133</v>
      </c>
      <c r="D57" s="38"/>
      <c r="E57" s="38"/>
      <c r="F57" s="38" t="s">
        <v>58</v>
      </c>
      <c r="G57" s="35" t="s">
        <v>201</v>
      </c>
      <c r="H57" s="35" t="s">
        <v>240</v>
      </c>
    </row>
    <row r="58" spans="1:8" x14ac:dyDescent="0.25">
      <c r="A58" s="12">
        <v>42</v>
      </c>
      <c r="B58" s="35" t="s">
        <v>100</v>
      </c>
      <c r="C58" s="35" t="s">
        <v>134</v>
      </c>
      <c r="D58" s="38"/>
      <c r="E58" s="38"/>
      <c r="F58" s="38" t="s">
        <v>146</v>
      </c>
      <c r="G58" s="35" t="s">
        <v>239</v>
      </c>
      <c r="H58" s="35" t="s">
        <v>241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E4" sqref="E4"/>
    </sheetView>
  </sheetViews>
  <sheetFormatPr defaultColWidth="8.85546875" defaultRowHeight="15.75" x14ac:dyDescent="0.2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 x14ac:dyDescent="0.25">
      <c r="B1" s="23" t="s">
        <v>41</v>
      </c>
      <c r="C1" s="32" t="str">
        <f>+"http://10.11.62.82:28080/IRIS/api/v1.0.0/party/"&amp;Spec!$C$1</f>
        <v>http://10.11.62.82:28080/IRIS/api/v1.0.0/party/EL0003</v>
      </c>
      <c r="D1" s="23"/>
      <c r="E1" s="22"/>
    </row>
    <row r="2" spans="1:5" x14ac:dyDescent="0.25">
      <c r="A2" s="22"/>
      <c r="B2" s="22" t="s">
        <v>42</v>
      </c>
      <c r="C2" s="32" t="str">
        <f>+"http://10.11.62.82:58080/IRIS/api/v1.0.0/party/"&amp;Spec!$C$1</f>
        <v>http://10.11.62.82:58080/IRIS/api/v1.0.0/party/EL0003</v>
      </c>
      <c r="D2" s="12"/>
      <c r="E2" s="22"/>
    </row>
    <row r="3" spans="1:5" x14ac:dyDescent="0.25">
      <c r="A3" s="25"/>
      <c r="B3" s="26" t="s">
        <v>36</v>
      </c>
      <c r="C3" s="27" t="s">
        <v>37</v>
      </c>
      <c r="D3" s="27" t="s">
        <v>38</v>
      </c>
      <c r="E3" s="28" t="s">
        <v>17</v>
      </c>
    </row>
    <row r="4" spans="1:5" ht="409.5" customHeight="1" x14ac:dyDescent="0.25">
      <c r="A4" s="25"/>
      <c r="B4" s="29" t="s">
        <v>39</v>
      </c>
      <c r="C4" s="29"/>
      <c r="D4" s="31" t="s">
        <v>63</v>
      </c>
      <c r="E4" s="30" t="s">
        <v>64</v>
      </c>
    </row>
    <row r="5" spans="1:5" x14ac:dyDescent="0.25">
      <c r="B5" s="29"/>
      <c r="C5" s="29"/>
      <c r="D5" s="31"/>
      <c r="E5" s="3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B8575A-F0B4-45CA-AD7D-50760CAF20A6}"/>
</file>

<file path=customXml/itemProps3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陳筱雅-核心應用部-永豐銀行</cp:lastModifiedBy>
  <cp:revision/>
  <dcterms:created xsi:type="dcterms:W3CDTF">2020-03-13T10:54:50Z</dcterms:created>
  <dcterms:modified xsi:type="dcterms:W3CDTF">2022-09-21T09:57:46Z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