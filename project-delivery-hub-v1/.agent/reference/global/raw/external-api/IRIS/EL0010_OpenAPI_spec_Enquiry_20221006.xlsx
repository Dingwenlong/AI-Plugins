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放款/"/>
    </mc:Choice>
  </mc:AlternateContent>
  <xr:revisionPtr revIDLastSave="0" documentId="14_{192CE2E6-6E8D-4587-B825-A7D3A29E1DF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3" l="1"/>
  <c r="C1" i="3"/>
  <c r="C8" i="2"/>
  <c r="C3" i="2"/>
</calcChain>
</file>

<file path=xl/sharedStrings.xml><?xml version="1.0" encoding="utf-8"?>
<sst xmlns="http://schemas.openxmlformats.org/spreadsheetml/2006/main" count="310" uniqueCount="214">
  <si>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</si>
  <si>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</si>
  <si>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</si>
  <si>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</si>
  <si>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</si>
  <si>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</si>
  <si>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</si>
  <si>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</si>
  <si>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</si>
  <si>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</si>
  <si>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</si>
  <si>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</si>
  <si>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</si>
  <si>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EQ</t>
  </si>
  <si>
    <t>No</t>
  </si>
  <si>
    <t>Field name</t>
  </si>
  <si>
    <t>Single Multi</t>
  </si>
  <si>
    <t>Length</t>
  </si>
  <si>
    <t>Response json</t>
  </si>
  <si>
    <t xml:space="preserve">Notice：
</t>
    <phoneticPr fontId="3" type="noConversion"/>
  </si>
  <si>
    <t>API_Vocabalary</t>
    <phoneticPr fontId="3" type="noConversion"/>
  </si>
  <si>
    <t>ENQ / TXN / AAA</t>
    <phoneticPr fontId="3" type="noConversion"/>
  </si>
  <si>
    <t>Header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</si>
  <si>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</si>
  <si>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</si>
  <si>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</si>
  <si>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</si>
  <si>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</si>
  <si>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</si>
  <si>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</si>
  <si>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</si>
  <si>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</si>
  <si>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</si>
  <si>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</si>
  <si>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</si>
  <si>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</si>
  <si>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</si>
  <si>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</si>
  <si>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</si>
  <si>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</si>
  <si>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</si>
  <si>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</si>
  <si>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Document History</t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</si>
  <si>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</si>
  <si>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t>API Vocabulary</t>
    <phoneticPr fontId="3" type="noConversion"/>
  </si>
  <si>
    <r>
      <t xml:space="preserve">companyId: </t>
    </r>
    <r>
      <rPr>
        <sz val="11"/>
        <color theme="1"/>
        <rFont val="細明體"/>
        <family val="2"/>
        <charset val="136"/>
      </rPr>
      <t>分行別</t>
    </r>
    <r>
      <rPr>
        <sz val="11"/>
        <color theme="1"/>
        <rFont val="Calibri"/>
        <family val="2"/>
      </rPr>
      <t xml:space="preserve">
credentials: </t>
    </r>
    <r>
      <rPr>
        <sz val="11"/>
        <color theme="1"/>
        <rFont val="細明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密碼</t>
    </r>
    <r>
      <rPr>
        <sz val="11"/>
        <color theme="1"/>
        <rFont val="Calibri"/>
        <family val="2"/>
      </rPr>
      <t xml:space="preserve">
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Microsoft JhengHei Light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Microsoft JhengHei Light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Microsoft JhengHei Light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>page_token + page_start</t>
    </r>
    <phoneticPr fontId="3" type="noConversion"/>
  </si>
  <si>
    <t>EL0010</t>
  </si>
  <si>
    <t>TMB.OD.INT.REPAY.DET</t>
    <phoneticPr fontId="3" type="noConversion"/>
  </si>
  <si>
    <t>SUB.LIMIT.REF</t>
  </si>
  <si>
    <t>OD.ACCOUNT</t>
  </si>
  <si>
    <t>LN.MAIN.ACCT</t>
  </si>
  <si>
    <t>AIO.MAIN.ACCT</t>
  </si>
  <si>
    <t>CURRENCY</t>
  </si>
  <si>
    <t>CAP.DATE</t>
  </si>
  <si>
    <t>PD.ID</t>
  </si>
  <si>
    <t>PE.CAL.DATE</t>
  </si>
  <si>
    <t>ACT.REPAY.DT</t>
  </si>
  <si>
    <t>EnqSubLimitRef</t>
  </si>
  <si>
    <t>EnqOdAccount</t>
  </si>
  <si>
    <t>EnqLnMainAcct</t>
  </si>
  <si>
    <t>EnqAioMainAcct</t>
  </si>
  <si>
    <t>EnqCurrency</t>
  </si>
  <si>
    <t>EnqCapDate</t>
  </si>
  <si>
    <t>EnqPdId</t>
  </si>
  <si>
    <t>EnqPeCalDate</t>
  </si>
  <si>
    <t>EnqActRepayDt</t>
  </si>
  <si>
    <t>EQ</t>
    <phoneticPr fontId="3" type="noConversion"/>
  </si>
  <si>
    <t>RG</t>
    <phoneticPr fontId="3" type="noConversion"/>
  </si>
  <si>
    <t>EnqCapDateRg</t>
    <phoneticPr fontId="3" type="noConversion"/>
  </si>
  <si>
    <t>EnqActRepayDtRg</t>
    <phoneticPr fontId="3" type="noConversion"/>
  </si>
  <si>
    <t>EnqPenalty</t>
  </si>
  <si>
    <t>EnqCorrOdIntAmt</t>
  </si>
  <si>
    <t>EnqRepayPeSum</t>
  </si>
  <si>
    <t>ENQ.SUB.LIMIT.REF</t>
  </si>
  <si>
    <t>ENQ.OD.ACCOUNT</t>
  </si>
  <si>
    <t>ENQ.CURRENCY</t>
  </si>
  <si>
    <t>ENQ.CUSTOMER.ID</t>
  </si>
  <si>
    <t>ENQ.SANC.LIMIT.AMT</t>
  </si>
  <si>
    <t>ENQ.AVAIL.MARK</t>
  </si>
  <si>
    <t>ENQ.LN.MAIN.ACCT</t>
  </si>
  <si>
    <t>ENQ.T.CARD.PAYMENT</t>
  </si>
  <si>
    <t>ENQ.T.CARD.APR.AMT</t>
  </si>
  <si>
    <t>ENQ.CUSTOMER.NAME</t>
  </si>
  <si>
    <t>ENQ.PE.CAL.DATE</t>
  </si>
  <si>
    <t>ENQ.TOT.INT.UNPAID</t>
  </si>
  <si>
    <t>ENQ.TOT.PE.UNPAID</t>
  </si>
  <si>
    <t>ENQ.TOT.AMT.UNPAID</t>
  </si>
  <si>
    <t>ENQ.REPAY.DATE</t>
  </si>
  <si>
    <t>ENQ.CAP.DATE</t>
  </si>
  <si>
    <t>ENQ.UTIL.AMT.CAPDATE</t>
  </si>
  <si>
    <t>ENQ.AVAIL.LIMIT.AMT</t>
  </si>
  <si>
    <t>ENQ.AVAIL.MARKER</t>
  </si>
  <si>
    <t>ENQ.REF.BI.CAP.DATE</t>
  </si>
  <si>
    <t>ENQ.INT.SPRD</t>
  </si>
  <si>
    <t>ENQ.OD.INT.AMT</t>
  </si>
  <si>
    <t>ENQ.ACT.REPAY.DT</t>
  </si>
  <si>
    <t>ENQ.REPAY.STATUS</t>
  </si>
  <si>
    <t>ENQ.PDID</t>
  </si>
  <si>
    <t>ENQ.PENALTY</t>
  </si>
  <si>
    <t>ENQ.ORIG.AMT</t>
  </si>
  <si>
    <t>ENQ.CURR.OS.AMT</t>
  </si>
  <si>
    <t>ENQ.PD.REPAY.DATE</t>
  </si>
  <si>
    <t>ENQ.PD.REPAY.TYPE</t>
  </si>
  <si>
    <t>ENQ.PD.REPAY.AMT</t>
  </si>
  <si>
    <t>ENQ.PD.ADJ.AMT</t>
  </si>
  <si>
    <t>ENQ.CORR.OD.INT.AMT</t>
  </si>
  <si>
    <t>ENQ.REPAY.PE.SUM</t>
  </si>
  <si>
    <t>使用明細查詢_繳息</t>
    <phoneticPr fontId="3" type="noConversion"/>
  </si>
  <si>
    <t>M</t>
  </si>
  <si>
    <t>EnqRepay statuss</t>
    <phoneticPr fontId="3" type="noConversion"/>
  </si>
  <si>
    <t>EnqCustomerId</t>
  </si>
  <si>
    <t>EnqSancLimitAmt</t>
  </si>
  <si>
    <t>EnqAvailMark</t>
  </si>
  <si>
    <t>EnqTCardPayment</t>
  </si>
  <si>
    <t>EnqTCardApramt</t>
  </si>
  <si>
    <t>EnqCustomerName</t>
  </si>
  <si>
    <t>EnqTotIntUnpaid</t>
  </si>
  <si>
    <t>EnqTotPeUnpaid</t>
  </si>
  <si>
    <t>EnqTotAmtUnpaid</t>
  </si>
  <si>
    <t>EnqRepayDate</t>
  </si>
  <si>
    <t>EnqUtilAmtCapdate</t>
  </si>
  <si>
    <t>EnqAvailLimitAmt</t>
  </si>
  <si>
    <t>EnqAvailMarker</t>
  </si>
  <si>
    <t>EnqRefBiCapDate</t>
  </si>
  <si>
    <t>EnqIntSprd</t>
  </si>
  <si>
    <t>EnqOdIntAmt</t>
  </si>
  <si>
    <t>EnqRepayStatus</t>
  </si>
  <si>
    <t>EnqOrigAmt</t>
  </si>
  <si>
    <t>EnqCurrOsAmt</t>
  </si>
  <si>
    <t>EnqPdRepayDate</t>
  </si>
  <si>
    <t>EnqPdRepayType</t>
  </si>
  <si>
    <t>EnqPdRepayAmt</t>
  </si>
  <si>
    <t>EnqPdAdjAmt</t>
  </si>
  <si>
    <t>Content-Type: application/json
credentials: XXXX/XXXX
companyId: TW807XXXX
EnqOdAccount: 11100400664329
EnqSubLimitRef: 1000.01
EnqCurrency: TWD
EnqCapDate: 20220501 20220530
EnqPeCalDate: 20221006
EnqActRepayDt: 20221006</t>
    <phoneticPr fontId="3" type="noConversion"/>
  </si>
  <si>
    <r>
      <t>{
  "header": {
    "audit": {
      "T24_time": 119,
      "parse_time": 1
    },
    "page_start": 1,
    "page_token": "1845934431.01,99",
    "total_size": 1,
    "page_size": 99,
    "status": "success"
  },
  "body": [
    {
      "EnqOdAccount": "11100400664329",
      "EnqTotIntUnpaid": "0",
      "EnqAvailLimitAmt": "49700000",
      "EnqAvailMarker": "Y",
      "EnqRepayDate": "20220527",
      "EnqRepayPeSum": "0",
      "EnqLnMainAcct": "11105500001365",
      "EnqIntSprd": "+15%",
      "EnqSancLimitAmt": "50000000",
      "EnqCustomerName": "</t>
    </r>
    <r>
      <rPr>
        <sz val="11"/>
        <color theme="1"/>
        <rFont val="細明體"/>
        <family val="2"/>
        <charset val="136"/>
      </rPr>
      <t>中文姓名</t>
    </r>
    <r>
      <rPr>
        <sz val="11"/>
        <color theme="1"/>
        <rFont val="Calibri"/>
        <family val="2"/>
      </rPr>
      <t>1036712",
      "EnqCustomerId": "F1353241080",
      "EnqAvailMark": "Y",
      "EnqTotPeUnpaid": "0",
      "EnqCapDate": "20220520",
      "EnqRefBiCapDate": "101",
      "EnqActRepayDt": "20220527",
      "EnqCurrency": "TWD",
      "EnqPeCalDate": "20221006",
      "EnqSubLimitRef": "1036712.0001000.01",
      "EnqTotAmtUnpaid": "0",
      "EnqRepayStatuss": [
        {
          "EnqPdRepayAmt": "986",
          "EnqPdId": "PDPD22147TR0BQ",
          "EnqPdRepayDate": "20220527",
          "EnqPdRepayType": "IN",
          "EnqOrigAmt": "986",
          "EnqCurrOsAmt": "0",
          "EnqPenalty": "0",
          "EnqRepayStatus": "Y",
          "EnqPdAdjAmt": "0"
        },
        {
          "EnqPdRepayAmt": "986",
          "EnqPdId": "PDPD22147FQMTV",
          "EnqPdRepayDate": "20220527",
          "EnqPdRepayType": "IN",
          "EnqOrigAmt": "986",
          "EnqCurrOsAmt": "0",
          "EnqPenalty": "0",
          "EnqRepayStatus": "Y",
          "EnqPdAdjAmt": "0"
        }
      ],
      "EnqUtilAmtCapdate": "-300000",
      "EnqOdIntAmt": "986"
    }
  ]
}</t>
    </r>
    <phoneticPr fontId="3" type="noConversion"/>
  </si>
  <si>
    <t>41L</t>
    <phoneticPr fontId="3" type="noConversion"/>
  </si>
  <si>
    <t>14L</t>
    <phoneticPr fontId="3" type="noConversion"/>
  </si>
  <si>
    <t>3L</t>
    <phoneticPr fontId="3" type="noConversion"/>
  </si>
  <si>
    <t>35L</t>
    <phoneticPr fontId="3" type="noConversion"/>
  </si>
  <si>
    <t>8L</t>
    <phoneticPr fontId="3" type="noConversion"/>
  </si>
  <si>
    <t>23L</t>
    <phoneticPr fontId="3" type="noConversion"/>
  </si>
  <si>
    <t>1L</t>
    <phoneticPr fontId="3" type="noConversion"/>
  </si>
  <si>
    <t>70L</t>
    <phoneticPr fontId="3" type="noConversion"/>
  </si>
  <si>
    <t>4L</t>
    <phoneticPr fontId="3" type="noConversion"/>
  </si>
  <si>
    <t>19L</t>
    <phoneticPr fontId="3" type="noConversion"/>
  </si>
  <si>
    <t>12L</t>
    <phoneticPr fontId="3" type="noConversion"/>
  </si>
  <si>
    <t>幣別</t>
    <phoneticPr fontId="3" type="noConversion"/>
  </si>
  <si>
    <t>額度號碼</t>
    <phoneticPr fontId="3" type="noConversion"/>
  </si>
  <si>
    <t>透支/約定帳號</t>
    <phoneticPr fontId="3" type="noConversion"/>
  </si>
  <si>
    <t>身分證統編</t>
    <phoneticPr fontId="3" type="noConversion"/>
  </si>
  <si>
    <t>有效記號</t>
    <phoneticPr fontId="3" type="noConversion"/>
  </si>
  <si>
    <t>核准額度</t>
    <phoneticPr fontId="3" type="noConversion"/>
  </si>
  <si>
    <t>放款帳號</t>
    <phoneticPr fontId="3" type="noConversion"/>
  </si>
  <si>
    <t>現金卡核准額度</t>
    <phoneticPr fontId="3" type="noConversion"/>
  </si>
  <si>
    <t>現金卡最低應繳</t>
    <phoneticPr fontId="3" type="noConversion"/>
  </si>
  <si>
    <t>戶名</t>
    <phoneticPr fontId="3" type="noConversion"/>
  </si>
  <si>
    <t>繳款狀態</t>
    <phoneticPr fontId="3" type="noConversion"/>
  </si>
  <si>
    <t>違約金計算止日</t>
    <phoneticPr fontId="3" type="noConversion"/>
  </si>
  <si>
    <t>未收利息</t>
    <phoneticPr fontId="3" type="noConversion"/>
  </si>
  <si>
    <t>未收總金額</t>
    <phoneticPr fontId="3" type="noConversion"/>
  </si>
  <si>
    <t>未收違約金</t>
    <phoneticPr fontId="3" type="noConversion"/>
  </si>
  <si>
    <t>應繳日</t>
    <phoneticPr fontId="3" type="noConversion"/>
  </si>
  <si>
    <t>計息日</t>
    <phoneticPr fontId="3" type="noConversion"/>
  </si>
  <si>
    <t>已使用額度</t>
    <phoneticPr fontId="3" type="noConversion"/>
  </si>
  <si>
    <t>尚有額度</t>
    <phoneticPr fontId="3" type="noConversion"/>
  </si>
  <si>
    <t>利率基礎</t>
    <phoneticPr fontId="3" type="noConversion"/>
  </si>
  <si>
    <t>訂約加減碼</t>
    <phoneticPr fontId="3" type="noConversion"/>
  </si>
  <si>
    <t>本期放款息</t>
    <phoneticPr fontId="3" type="noConversion"/>
  </si>
  <si>
    <t>繳清日</t>
    <phoneticPr fontId="3" type="noConversion"/>
  </si>
  <si>
    <t>目前逾期餘額</t>
    <phoneticPr fontId="3" type="noConversion"/>
  </si>
  <si>
    <t>繳款金額</t>
    <phoneticPr fontId="3" type="noConversion"/>
  </si>
  <si>
    <t>調整金額</t>
    <phoneticPr fontId="3" type="noConversion"/>
  </si>
  <si>
    <t>逾繳類別</t>
    <phoneticPr fontId="3" type="noConversion"/>
  </si>
  <si>
    <t>逾繳日</t>
    <phoneticPr fontId="3" type="noConversion"/>
  </si>
  <si>
    <t>初始逾期金額</t>
    <phoneticPr fontId="3" type="noConversion"/>
  </si>
  <si>
    <t>逾期編號</t>
    <phoneticPr fontId="3" type="noConversion"/>
  </si>
  <si>
    <t>調整息</t>
    <phoneticPr fontId="3" type="noConversion"/>
  </si>
  <si>
    <t>sub limit line</t>
    <phoneticPr fontId="3" type="noConversion"/>
  </si>
  <si>
    <t>currency</t>
    <phoneticPr fontId="3" type="noConversion"/>
  </si>
  <si>
    <t>customer id</t>
  </si>
  <si>
    <t>Limit available marker</t>
  </si>
  <si>
    <t>customer name</t>
    <phoneticPr fontId="3" type="noConversion"/>
  </si>
  <si>
    <t>Adjust interest</t>
    <phoneticPr fontId="3" type="noConversion"/>
  </si>
  <si>
    <t>Adjust amount for PD</t>
    <phoneticPr fontId="3" type="noConversion"/>
  </si>
  <si>
    <t>Payment amount</t>
    <phoneticPr fontId="3" type="noConversion"/>
  </si>
  <si>
    <t>Current overdue outstanding</t>
    <phoneticPr fontId="3" type="noConversion"/>
  </si>
  <si>
    <t>Initial overdue amount</t>
    <phoneticPr fontId="3" type="noConversion"/>
  </si>
  <si>
    <t>Uncollected penalty</t>
    <phoneticPr fontId="3" type="noConversion"/>
  </si>
  <si>
    <t>PD ID</t>
    <phoneticPr fontId="3" type="noConversion"/>
  </si>
  <si>
    <t>Repayment status</t>
    <phoneticPr fontId="3" type="noConversion"/>
  </si>
  <si>
    <t>Repayment date</t>
    <phoneticPr fontId="3" type="noConversion"/>
  </si>
  <si>
    <t>Interest for overdraft in this period</t>
    <phoneticPr fontId="3" type="noConversion"/>
  </si>
  <si>
    <t>Unpaid interest</t>
    <phoneticPr fontId="3" type="noConversion"/>
  </si>
  <si>
    <t>Unpaid penalty</t>
    <phoneticPr fontId="3" type="noConversion"/>
  </si>
  <si>
    <t>Unpaid total amount</t>
    <phoneticPr fontId="3" type="noConversion"/>
  </si>
  <si>
    <t>Schedule repayment date</t>
    <phoneticPr fontId="3" type="noConversion"/>
  </si>
  <si>
    <t>Cap date</t>
    <phoneticPr fontId="3" type="noConversion"/>
  </si>
  <si>
    <t>Loan main account</t>
    <phoneticPr fontId="3" type="noConversion"/>
  </si>
  <si>
    <t>Approval limit</t>
    <phoneticPr fontId="3" type="noConversion"/>
  </si>
  <si>
    <t>Cash card approval limit</t>
    <phoneticPr fontId="3" type="noConversion"/>
  </si>
  <si>
    <t>Minimum payable for cash cards</t>
    <phoneticPr fontId="3" type="noConversion"/>
  </si>
  <si>
    <t>The end date of calculation of penalty</t>
    <phoneticPr fontId="3" type="noConversion"/>
  </si>
  <si>
    <t>Utilised limit</t>
    <phoneticPr fontId="3" type="noConversion"/>
  </si>
  <si>
    <t>Available limit</t>
    <phoneticPr fontId="3" type="noConversion"/>
  </si>
  <si>
    <t>Available marker</t>
    <phoneticPr fontId="3" type="noConversion"/>
  </si>
  <si>
    <t>Base Rate</t>
    <phoneticPr fontId="3" type="noConversion"/>
  </si>
  <si>
    <t>Interest spread</t>
    <phoneticPr fontId="3" type="noConversion"/>
  </si>
  <si>
    <t>PD payment date</t>
    <phoneticPr fontId="3" type="noConversion"/>
  </si>
  <si>
    <t>PD payment type</t>
    <phoneticPr fontId="3" type="noConversion"/>
  </si>
  <si>
    <t>ODaccount</t>
    <phoneticPr fontId="3" type="noConversion"/>
  </si>
  <si>
    <t>Y
N</t>
    <phoneticPr fontId="3" type="noConversion"/>
  </si>
  <si>
    <t>Drawdown List</t>
    <phoneticPr fontId="3" type="noConversion"/>
  </si>
  <si>
    <r>
      <rPr>
        <b/>
        <sz val="11"/>
        <rFont val="微軟正黑體"/>
        <family val="2"/>
        <charset val="136"/>
      </rPr>
      <t>選單</t>
    </r>
    <phoneticPr fontId="3" type="noConversion"/>
  </si>
  <si>
    <t>廖家鴻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</si>
</sst>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rgb="FF0000D4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21" fillId="0" borderId="6" xfId="0" applyFont="1" applyBorder="1"/>
    <xf numFmtId="0" fontId="20" fillId="0" borderId="0" xfId="0" applyFont="1"/>
    <xf numFmtId="0" fontId="20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23" fillId="0" borderId="5" xfId="0" applyFont="1" applyBorder="1" applyAlignment="1">
      <alignment horizontal="center" vertical="center" wrapText="1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J21" sqref="J21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0" t="s">
        <v>19</v>
      </c>
      <c r="B1" s="41"/>
      <c r="C1" s="41"/>
      <c r="D1" s="41"/>
      <c r="E1" s="41"/>
    </row>
    <row r="2" spans="1:5" ht="20.100000000000001" customHeight="1" thickBot="1" x14ac:dyDescent="0.3">
      <c r="A2" s="37" t="s">
        <v>42</v>
      </c>
      <c r="B2" s="38"/>
      <c r="C2" s="38"/>
      <c r="D2" s="38"/>
      <c r="E2" s="39"/>
    </row>
    <row r="3" spans="1:5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6.5" thickBot="1" x14ac:dyDescent="0.3">
      <c r="A4" s="3" t="s">
        <v>5</v>
      </c>
      <c r="B4" s="6">
        <v>44846</v>
      </c>
      <c r="C4" s="5" t="s">
        <v>6</v>
      </c>
      <c r="D4" s="42" t="s">
        <v>213</v>
      </c>
      <c r="E4" s="4" t="s">
        <v>7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</row>
    <row r="12" spans="1:5" ht="16.5" thickBot="1" x14ac:dyDescent="0.3">
      <c r="A12" s="4" t="s">
        <v>7</v>
      </c>
      <c r="B12" s="4" t="s">
        <v>7</v>
      </c>
      <c r="C12" s="4" t="s">
        <v>7</v>
      </c>
      <c r="D12" s="4" t="s">
        <v>7</v>
      </c>
      <c r="E12" s="4" t="s">
        <v>7</v>
      </c>
    </row>
    <row r="13" spans="1:5" ht="16.5" thickBot="1" x14ac:dyDescent="0.3">
      <c r="A13" s="4" t="s">
        <v>7</v>
      </c>
      <c r="B13" s="4" t="s">
        <v>7</v>
      </c>
      <c r="C13" s="4" t="s">
        <v>7</v>
      </c>
      <c r="D13" s="4" t="s">
        <v>7</v>
      </c>
      <c r="E13" s="4" t="s">
        <v>7</v>
      </c>
    </row>
    <row r="14" spans="1:5" ht="16.5" thickBot="1" x14ac:dyDescent="0.3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</row>
    <row r="15" spans="1:5" ht="16.5" thickBot="1" x14ac:dyDescent="0.3">
      <c r="A15" s="4" t="s">
        <v>7</v>
      </c>
      <c r="B15" s="4" t="s">
        <v>7</v>
      </c>
      <c r="C15" s="4" t="s">
        <v>7</v>
      </c>
      <c r="D15" s="4" t="s">
        <v>7</v>
      </c>
      <c r="E15" s="4" t="s">
        <v>7</v>
      </c>
    </row>
    <row r="16" spans="1:5" ht="16.5" thickBot="1" x14ac:dyDescent="0.3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</row>
    <row r="17" spans="1:5" ht="16.5" thickBot="1" x14ac:dyDescent="0.3">
      <c r="A17" s="4" t="s">
        <v>7</v>
      </c>
      <c r="B17" s="4" t="s">
        <v>7</v>
      </c>
      <c r="C17" s="4" t="s">
        <v>7</v>
      </c>
      <c r="D17" s="4" t="s">
        <v>7</v>
      </c>
      <c r="E17" s="4" t="s">
        <v>7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73"/>
  <sheetViews>
    <sheetView tabSelected="1" zoomScale="90" zoomScaleNormal="90" workbookViewId="0">
      <selection activeCell="I51" sqref="I51"/>
    </sheetView>
  </sheetViews>
  <sheetFormatPr defaultColWidth="8.85546875" defaultRowHeight="15" x14ac:dyDescent="0.25"/>
  <cols>
    <col min="1" max="1" width="4.28515625" style="9" bestFit="1" customWidth="1"/>
    <col min="2" max="2" width="34.42578125" style="9" bestFit="1" customWidth="1"/>
    <col min="3" max="3" width="40.42578125" style="12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2.5703125" style="12" bestFit="1" customWidth="1"/>
    <col min="8" max="8" width="50.140625" style="12" bestFit="1" customWidth="1"/>
    <col min="9" max="16384" width="8.85546875" style="12"/>
  </cols>
  <sheetData>
    <row r="1" spans="2:5" x14ac:dyDescent="0.25">
      <c r="B1" s="10" t="s">
        <v>31</v>
      </c>
      <c r="C1" s="11" t="s">
        <v>46</v>
      </c>
    </row>
    <row r="2" spans="2:5" x14ac:dyDescent="0.25">
      <c r="B2" s="10" t="s">
        <v>32</v>
      </c>
      <c r="C2" s="33" t="s">
        <v>107</v>
      </c>
    </row>
    <row r="3" spans="2:5" x14ac:dyDescent="0.25">
      <c r="B3" s="10" t="s">
        <v>8</v>
      </c>
      <c r="C3" s="11" t="str">
        <f>+"/api/v1.0.0/party/"&amp;C1</f>
        <v>/api/v1.0.0/party/EL0010</v>
      </c>
    </row>
    <row r="4" spans="2:5" ht="106.5" customHeight="1" x14ac:dyDescent="0.25">
      <c r="B4" s="10" t="s">
        <v>22</v>
      </c>
      <c r="C4" s="32" t="s">
        <v>45</v>
      </c>
    </row>
    <row r="5" spans="2:5" x14ac:dyDescent="0.25">
      <c r="B5" s="10" t="s">
        <v>26</v>
      </c>
      <c r="C5" s="11" t="s">
        <v>9</v>
      </c>
    </row>
    <row r="6" spans="2:5" x14ac:dyDescent="0.25">
      <c r="B6" s="10" t="s">
        <v>21</v>
      </c>
      <c r="C6" s="11" t="s">
        <v>10</v>
      </c>
    </row>
    <row r="7" spans="2:5" x14ac:dyDescent="0.25">
      <c r="B7" s="10" t="s">
        <v>39</v>
      </c>
      <c r="C7" s="11" t="s">
        <v>47</v>
      </c>
    </row>
    <row r="8" spans="2:5" x14ac:dyDescent="0.25">
      <c r="B8" s="10" t="s">
        <v>23</v>
      </c>
      <c r="C8" s="11" t="str">
        <f>+"ENQ.API."&amp;C1&amp;".1.0.0"</f>
        <v>ENQ.API.EL0010.1.0.0</v>
      </c>
    </row>
    <row r="9" spans="2:5" x14ac:dyDescent="0.25">
      <c r="B9" s="12"/>
    </row>
    <row r="10" spans="2:5" x14ac:dyDescent="0.25">
      <c r="B10" s="12"/>
    </row>
    <row r="11" spans="2:5" x14ac:dyDescent="0.25">
      <c r="B11" s="10" t="s">
        <v>11</v>
      </c>
      <c r="C11" s="13" t="s">
        <v>20</v>
      </c>
      <c r="D11" s="10" t="s">
        <v>12</v>
      </c>
      <c r="E11" s="14" t="s">
        <v>33</v>
      </c>
    </row>
    <row r="12" spans="2:5" x14ac:dyDescent="0.25">
      <c r="B12" s="28" t="s">
        <v>48</v>
      </c>
      <c r="C12" s="28" t="s">
        <v>57</v>
      </c>
      <c r="D12" s="28" t="s">
        <v>13</v>
      </c>
      <c r="E12" s="11"/>
    </row>
    <row r="13" spans="2:5" x14ac:dyDescent="0.25">
      <c r="B13" s="28" t="s">
        <v>49</v>
      </c>
      <c r="C13" s="28" t="s">
        <v>58</v>
      </c>
      <c r="D13" s="28" t="s">
        <v>13</v>
      </c>
      <c r="E13" s="11"/>
    </row>
    <row r="14" spans="2:5" x14ac:dyDescent="0.25">
      <c r="B14" s="28" t="s">
        <v>50</v>
      </c>
      <c r="C14" s="28" t="s">
        <v>59</v>
      </c>
      <c r="D14" s="28" t="s">
        <v>13</v>
      </c>
      <c r="E14" s="11"/>
    </row>
    <row r="15" spans="2:5" x14ac:dyDescent="0.25">
      <c r="B15" s="28" t="s">
        <v>51</v>
      </c>
      <c r="C15" s="28" t="s">
        <v>60</v>
      </c>
      <c r="D15" s="28" t="s">
        <v>13</v>
      </c>
      <c r="E15" s="11"/>
    </row>
    <row r="16" spans="2:5" x14ac:dyDescent="0.25">
      <c r="B16" s="28" t="s">
        <v>52</v>
      </c>
      <c r="C16" s="28" t="s">
        <v>61</v>
      </c>
      <c r="D16" s="28" t="s">
        <v>13</v>
      </c>
      <c r="E16" s="11"/>
    </row>
    <row r="17" spans="1:9" x14ac:dyDescent="0.25">
      <c r="B17" s="28" t="s">
        <v>53</v>
      </c>
      <c r="C17" s="28" t="s">
        <v>62</v>
      </c>
      <c r="D17" s="28" t="s">
        <v>66</v>
      </c>
      <c r="E17" s="11"/>
    </row>
    <row r="18" spans="1:9" x14ac:dyDescent="0.25">
      <c r="B18" s="28" t="s">
        <v>53</v>
      </c>
      <c r="C18" s="28" t="s">
        <v>68</v>
      </c>
      <c r="D18" s="28" t="s">
        <v>67</v>
      </c>
      <c r="E18" s="11"/>
    </row>
    <row r="19" spans="1:9" x14ac:dyDescent="0.25">
      <c r="B19" s="28" t="s">
        <v>54</v>
      </c>
      <c r="C19" s="28" t="s">
        <v>63</v>
      </c>
      <c r="D19" s="28" t="s">
        <v>66</v>
      </c>
      <c r="E19" s="11"/>
    </row>
    <row r="20" spans="1:9" x14ac:dyDescent="0.25">
      <c r="B20" s="28" t="s">
        <v>55</v>
      </c>
      <c r="C20" s="28" t="s">
        <v>64</v>
      </c>
      <c r="D20" s="28" t="s">
        <v>13</v>
      </c>
      <c r="E20" s="11"/>
    </row>
    <row r="21" spans="1:9" x14ac:dyDescent="0.25">
      <c r="B21" s="28" t="s">
        <v>56</v>
      </c>
      <c r="C21" s="28" t="s">
        <v>65</v>
      </c>
      <c r="D21" s="28" t="s">
        <v>66</v>
      </c>
      <c r="E21" s="11"/>
    </row>
    <row r="22" spans="1:9" x14ac:dyDescent="0.25">
      <c r="B22" s="28" t="s">
        <v>56</v>
      </c>
      <c r="C22" s="28" t="s">
        <v>69</v>
      </c>
      <c r="D22" s="28" t="s">
        <v>67</v>
      </c>
      <c r="E22" s="11"/>
    </row>
    <row r="23" spans="1:9" x14ac:dyDescent="0.25">
      <c r="B23" s="12"/>
      <c r="D23" s="15"/>
    </row>
    <row r="24" spans="1:9" x14ac:dyDescent="0.25">
      <c r="A24" s="16"/>
      <c r="B24" s="15"/>
      <c r="C24" s="16"/>
      <c r="D24" s="15"/>
      <c r="E24" s="15"/>
      <c r="F24" s="15"/>
    </row>
    <row r="25" spans="1:9" s="19" customFormat="1" x14ac:dyDescent="0.25">
      <c r="A25" s="17" t="s">
        <v>14</v>
      </c>
      <c r="B25" s="17" t="s">
        <v>15</v>
      </c>
      <c r="C25" s="17" t="s">
        <v>44</v>
      </c>
      <c r="D25" s="18" t="s">
        <v>24</v>
      </c>
      <c r="E25" s="17" t="s">
        <v>16</v>
      </c>
      <c r="F25" s="17" t="s">
        <v>17</v>
      </c>
      <c r="G25" s="17" t="s">
        <v>25</v>
      </c>
      <c r="H25" s="17" t="s">
        <v>25</v>
      </c>
      <c r="I25" s="17" t="s">
        <v>211</v>
      </c>
    </row>
    <row r="26" spans="1:9" s="19" customFormat="1" x14ac:dyDescent="0.25">
      <c r="A26" s="17"/>
      <c r="B26" s="17" t="s">
        <v>34</v>
      </c>
      <c r="C26" s="31" t="s">
        <v>43</v>
      </c>
      <c r="D26" s="17" t="s">
        <v>35</v>
      </c>
      <c r="E26" s="17" t="s">
        <v>36</v>
      </c>
      <c r="F26" s="17" t="s">
        <v>37</v>
      </c>
      <c r="G26" s="17" t="s">
        <v>38</v>
      </c>
      <c r="H26" s="17" t="s">
        <v>38</v>
      </c>
      <c r="I26" s="17" t="s">
        <v>212</v>
      </c>
    </row>
    <row r="27" spans="1:9" ht="15.75" x14ac:dyDescent="0.25">
      <c r="A27" s="12">
        <v>1</v>
      </c>
      <c r="B27" s="27" t="s">
        <v>73</v>
      </c>
      <c r="C27" s="27" t="s">
        <v>57</v>
      </c>
      <c r="E27" s="27"/>
      <c r="F27" s="12" t="s">
        <v>135</v>
      </c>
      <c r="G27" s="35" t="s">
        <v>147</v>
      </c>
      <c r="H27" s="12" t="s">
        <v>177</v>
      </c>
    </row>
    <row r="28" spans="1:9" ht="15.75" x14ac:dyDescent="0.25">
      <c r="A28" s="12">
        <v>2</v>
      </c>
      <c r="B28" s="27" t="s">
        <v>74</v>
      </c>
      <c r="C28" s="27" t="s">
        <v>58</v>
      </c>
      <c r="E28" s="27"/>
      <c r="F28" s="12" t="s">
        <v>136</v>
      </c>
      <c r="G28" s="35" t="s">
        <v>148</v>
      </c>
      <c r="H28" s="12" t="s">
        <v>209</v>
      </c>
    </row>
    <row r="29" spans="1:9" ht="15.75" x14ac:dyDescent="0.25">
      <c r="A29" s="12">
        <v>3</v>
      </c>
      <c r="B29" s="27" t="s">
        <v>75</v>
      </c>
      <c r="C29" s="27" t="s">
        <v>61</v>
      </c>
      <c r="E29" s="27"/>
      <c r="F29" s="12" t="s">
        <v>137</v>
      </c>
      <c r="G29" s="35" t="s">
        <v>146</v>
      </c>
      <c r="H29" s="12" t="s">
        <v>178</v>
      </c>
    </row>
    <row r="30" spans="1:9" ht="15.75" x14ac:dyDescent="0.25">
      <c r="A30" s="12">
        <v>4</v>
      </c>
      <c r="B30" s="27" t="s">
        <v>76</v>
      </c>
      <c r="C30" s="27" t="s">
        <v>110</v>
      </c>
      <c r="E30" s="27"/>
      <c r="F30" s="12" t="s">
        <v>138</v>
      </c>
      <c r="G30" s="35" t="s">
        <v>149</v>
      </c>
      <c r="H30" s="12" t="s">
        <v>179</v>
      </c>
    </row>
    <row r="31" spans="1:9" ht="15.75" x14ac:dyDescent="0.25">
      <c r="A31" s="12">
        <v>5</v>
      </c>
      <c r="B31" s="27" t="s">
        <v>77</v>
      </c>
      <c r="C31" s="27" t="s">
        <v>111</v>
      </c>
      <c r="E31" s="27"/>
      <c r="F31" s="12" t="s">
        <v>144</v>
      </c>
      <c r="G31" s="35" t="s">
        <v>151</v>
      </c>
      <c r="H31" s="12" t="s">
        <v>198</v>
      </c>
    </row>
    <row r="32" spans="1:9" ht="15.75" x14ac:dyDescent="0.25">
      <c r="A32" s="12">
        <v>6</v>
      </c>
      <c r="B32" s="27" t="s">
        <v>78</v>
      </c>
      <c r="C32" s="27" t="s">
        <v>112</v>
      </c>
      <c r="E32" s="27"/>
      <c r="F32" s="12" t="s">
        <v>141</v>
      </c>
      <c r="G32" s="35" t="s">
        <v>150</v>
      </c>
      <c r="H32" s="12" t="s">
        <v>180</v>
      </c>
    </row>
    <row r="33" spans="1:9" ht="15.75" x14ac:dyDescent="0.25">
      <c r="A33" s="12">
        <v>7</v>
      </c>
      <c r="B33" s="27" t="s">
        <v>79</v>
      </c>
      <c r="C33" s="27" t="s">
        <v>59</v>
      </c>
      <c r="E33" s="27"/>
      <c r="F33" s="12" t="s">
        <v>136</v>
      </c>
      <c r="G33" s="34" t="s">
        <v>152</v>
      </c>
      <c r="H33" s="12" t="s">
        <v>197</v>
      </c>
    </row>
    <row r="34" spans="1:9" ht="15.75" x14ac:dyDescent="0.25">
      <c r="A34" s="12">
        <v>8</v>
      </c>
      <c r="B34" s="27" t="s">
        <v>80</v>
      </c>
      <c r="C34" s="27" t="s">
        <v>113</v>
      </c>
      <c r="E34" s="27"/>
      <c r="F34" s="12" t="s">
        <v>144</v>
      </c>
      <c r="G34" s="34" t="s">
        <v>153</v>
      </c>
      <c r="H34" s="12" t="s">
        <v>199</v>
      </c>
    </row>
    <row r="35" spans="1:9" ht="15.75" x14ac:dyDescent="0.25">
      <c r="A35" s="12">
        <v>9</v>
      </c>
      <c r="B35" s="27" t="s">
        <v>81</v>
      </c>
      <c r="C35" s="27" t="s">
        <v>114</v>
      </c>
      <c r="E35" s="27"/>
      <c r="F35" s="12" t="s">
        <v>144</v>
      </c>
      <c r="G35" s="34" t="s">
        <v>154</v>
      </c>
      <c r="H35" s="12" t="s">
        <v>200</v>
      </c>
    </row>
    <row r="36" spans="1:9" ht="15.75" x14ac:dyDescent="0.25">
      <c r="A36" s="12">
        <v>10</v>
      </c>
      <c r="B36" s="27" t="s">
        <v>82</v>
      </c>
      <c r="C36" s="27" t="s">
        <v>115</v>
      </c>
      <c r="E36" s="27"/>
      <c r="F36" s="12" t="s">
        <v>142</v>
      </c>
      <c r="G36" s="34" t="s">
        <v>155</v>
      </c>
      <c r="H36" s="12" t="s">
        <v>181</v>
      </c>
    </row>
    <row r="37" spans="1:9" ht="15.75" x14ac:dyDescent="0.25">
      <c r="A37" s="12">
        <v>11</v>
      </c>
      <c r="B37" s="27" t="s">
        <v>83</v>
      </c>
      <c r="C37" s="27" t="s">
        <v>64</v>
      </c>
      <c r="E37" s="27"/>
      <c r="F37" s="12" t="s">
        <v>139</v>
      </c>
      <c r="G37" s="34" t="s">
        <v>157</v>
      </c>
      <c r="H37" s="12" t="s">
        <v>201</v>
      </c>
    </row>
    <row r="38" spans="1:9" ht="15.75" x14ac:dyDescent="0.25">
      <c r="A38" s="12">
        <v>12</v>
      </c>
      <c r="B38" s="27" t="s">
        <v>84</v>
      </c>
      <c r="C38" s="27" t="s">
        <v>116</v>
      </c>
      <c r="E38" s="27"/>
      <c r="F38" s="12" t="s">
        <v>144</v>
      </c>
      <c r="G38" s="34" t="s">
        <v>158</v>
      </c>
      <c r="H38" s="12" t="s">
        <v>192</v>
      </c>
    </row>
    <row r="39" spans="1:9" ht="15.75" x14ac:dyDescent="0.25">
      <c r="A39" s="12">
        <v>13</v>
      </c>
      <c r="B39" s="27" t="s">
        <v>85</v>
      </c>
      <c r="C39" s="27" t="s">
        <v>117</v>
      </c>
      <c r="E39" s="27"/>
      <c r="F39" s="12" t="s">
        <v>144</v>
      </c>
      <c r="G39" s="34" t="s">
        <v>160</v>
      </c>
      <c r="H39" s="12" t="s">
        <v>193</v>
      </c>
    </row>
    <row r="40" spans="1:9" ht="15.75" x14ac:dyDescent="0.25">
      <c r="A40" s="12">
        <v>14</v>
      </c>
      <c r="B40" s="27" t="s">
        <v>86</v>
      </c>
      <c r="C40" s="27" t="s">
        <v>118</v>
      </c>
      <c r="E40" s="27"/>
      <c r="F40" s="12" t="s">
        <v>144</v>
      </c>
      <c r="G40" s="34" t="s">
        <v>159</v>
      </c>
      <c r="H40" s="12" t="s">
        <v>194</v>
      </c>
    </row>
    <row r="41" spans="1:9" ht="15.75" x14ac:dyDescent="0.25">
      <c r="A41" s="12">
        <v>15</v>
      </c>
      <c r="B41" s="27" t="s">
        <v>87</v>
      </c>
      <c r="C41" s="27" t="s">
        <v>119</v>
      </c>
      <c r="E41" s="27"/>
      <c r="F41" s="12" t="s">
        <v>139</v>
      </c>
      <c r="G41" s="34" t="s">
        <v>161</v>
      </c>
      <c r="H41" s="12" t="s">
        <v>195</v>
      </c>
    </row>
    <row r="42" spans="1:9" ht="15.75" x14ac:dyDescent="0.25">
      <c r="A42" s="12">
        <v>16</v>
      </c>
      <c r="B42" s="27" t="s">
        <v>88</v>
      </c>
      <c r="C42" s="27" t="s">
        <v>62</v>
      </c>
      <c r="E42" s="27"/>
      <c r="F42" s="12" t="s">
        <v>139</v>
      </c>
      <c r="G42" s="34" t="s">
        <v>162</v>
      </c>
      <c r="H42" s="12" t="s">
        <v>196</v>
      </c>
    </row>
    <row r="43" spans="1:9" ht="15.75" x14ac:dyDescent="0.25">
      <c r="A43" s="12">
        <v>17</v>
      </c>
      <c r="B43" s="27" t="s">
        <v>89</v>
      </c>
      <c r="C43" s="27" t="s">
        <v>120</v>
      </c>
      <c r="E43" s="27"/>
      <c r="F43" s="12" t="s">
        <v>144</v>
      </c>
      <c r="G43" s="34" t="s">
        <v>163</v>
      </c>
      <c r="H43" s="12" t="s">
        <v>202</v>
      </c>
    </row>
    <row r="44" spans="1:9" ht="15.75" x14ac:dyDescent="0.25">
      <c r="A44" s="12">
        <v>18</v>
      </c>
      <c r="B44" s="27" t="s">
        <v>90</v>
      </c>
      <c r="C44" s="27" t="s">
        <v>121</v>
      </c>
      <c r="E44" s="27"/>
      <c r="F44" s="12" t="s">
        <v>144</v>
      </c>
      <c r="G44" s="34" t="s">
        <v>164</v>
      </c>
      <c r="H44" s="12" t="s">
        <v>203</v>
      </c>
    </row>
    <row r="45" spans="1:9" ht="30" x14ac:dyDescent="0.25">
      <c r="A45" s="12">
        <v>19</v>
      </c>
      <c r="B45" s="27" t="s">
        <v>91</v>
      </c>
      <c r="C45" s="27" t="s">
        <v>122</v>
      </c>
      <c r="E45" s="27"/>
      <c r="F45" s="12" t="s">
        <v>141</v>
      </c>
      <c r="G45" s="34" t="s">
        <v>150</v>
      </c>
      <c r="H45" s="12" t="s">
        <v>204</v>
      </c>
      <c r="I45" s="36" t="s">
        <v>210</v>
      </c>
    </row>
    <row r="46" spans="1:9" ht="15.75" x14ac:dyDescent="0.25">
      <c r="A46" s="12">
        <v>20</v>
      </c>
      <c r="B46" s="27" t="s">
        <v>92</v>
      </c>
      <c r="C46" s="27" t="s">
        <v>123</v>
      </c>
      <c r="E46" s="27"/>
      <c r="F46" s="12" t="s">
        <v>139</v>
      </c>
      <c r="G46" s="34" t="s">
        <v>165</v>
      </c>
      <c r="H46" s="12" t="s">
        <v>205</v>
      </c>
    </row>
    <row r="47" spans="1:9" ht="15.75" x14ac:dyDescent="0.25">
      <c r="A47" s="12">
        <v>21</v>
      </c>
      <c r="B47" s="27" t="s">
        <v>93</v>
      </c>
      <c r="C47" s="27" t="s">
        <v>124</v>
      </c>
      <c r="E47" s="27"/>
      <c r="F47" s="12" t="s">
        <v>145</v>
      </c>
      <c r="G47" s="34" t="s">
        <v>166</v>
      </c>
      <c r="H47" s="12" t="s">
        <v>206</v>
      </c>
    </row>
    <row r="48" spans="1:9" ht="15.75" x14ac:dyDescent="0.25">
      <c r="A48" s="12">
        <v>22</v>
      </c>
      <c r="B48" s="27" t="s">
        <v>94</v>
      </c>
      <c r="C48" s="27" t="s">
        <v>125</v>
      </c>
      <c r="E48" s="27"/>
      <c r="F48" s="12" t="s">
        <v>144</v>
      </c>
      <c r="G48" s="34" t="s">
        <v>167</v>
      </c>
      <c r="H48" s="12" t="s">
        <v>191</v>
      </c>
    </row>
    <row r="49" spans="1:8" ht="15.75" x14ac:dyDescent="0.25">
      <c r="A49" s="12">
        <v>23</v>
      </c>
      <c r="B49" s="27" t="s">
        <v>95</v>
      </c>
      <c r="C49" s="27" t="s">
        <v>65</v>
      </c>
      <c r="E49" s="27"/>
      <c r="F49" s="12" t="s">
        <v>139</v>
      </c>
      <c r="G49" s="34" t="s">
        <v>168</v>
      </c>
      <c r="H49" s="12" t="s">
        <v>190</v>
      </c>
    </row>
    <row r="50" spans="1:8" ht="15.75" x14ac:dyDescent="0.25">
      <c r="A50" s="12">
        <v>24</v>
      </c>
      <c r="B50" s="27" t="s">
        <v>96</v>
      </c>
      <c r="C50" s="27" t="s">
        <v>126</v>
      </c>
      <c r="D50" s="27" t="s">
        <v>109</v>
      </c>
      <c r="E50" s="27" t="s">
        <v>108</v>
      </c>
      <c r="F50" s="12" t="s">
        <v>141</v>
      </c>
      <c r="G50" s="34" t="s">
        <v>156</v>
      </c>
      <c r="H50" s="12" t="s">
        <v>189</v>
      </c>
    </row>
    <row r="51" spans="1:8" ht="15.75" x14ac:dyDescent="0.25">
      <c r="A51" s="12">
        <v>25</v>
      </c>
      <c r="B51" s="27" t="s">
        <v>97</v>
      </c>
      <c r="C51" s="27" t="s">
        <v>63</v>
      </c>
      <c r="D51" s="27" t="s">
        <v>109</v>
      </c>
      <c r="E51" s="27" t="s">
        <v>108</v>
      </c>
      <c r="F51" s="12" t="s">
        <v>140</v>
      </c>
      <c r="G51" s="34" t="s">
        <v>175</v>
      </c>
      <c r="H51" s="12" t="s">
        <v>188</v>
      </c>
    </row>
    <row r="52" spans="1:8" ht="15.75" x14ac:dyDescent="0.25">
      <c r="A52" s="12">
        <v>26</v>
      </c>
      <c r="B52" s="27" t="s">
        <v>98</v>
      </c>
      <c r="C52" s="27" t="s">
        <v>70</v>
      </c>
      <c r="D52" s="27" t="s">
        <v>109</v>
      </c>
      <c r="E52" s="27" t="s">
        <v>108</v>
      </c>
      <c r="F52" s="12" t="s">
        <v>144</v>
      </c>
      <c r="G52" s="34" t="s">
        <v>160</v>
      </c>
      <c r="H52" s="12" t="s">
        <v>187</v>
      </c>
    </row>
    <row r="53" spans="1:8" ht="15.75" x14ac:dyDescent="0.25">
      <c r="A53" s="12">
        <v>27</v>
      </c>
      <c r="B53" s="27" t="s">
        <v>99</v>
      </c>
      <c r="C53" s="27" t="s">
        <v>127</v>
      </c>
      <c r="D53" s="27" t="s">
        <v>109</v>
      </c>
      <c r="E53" s="27" t="s">
        <v>108</v>
      </c>
      <c r="F53" s="12" t="s">
        <v>144</v>
      </c>
      <c r="G53" s="34" t="s">
        <v>174</v>
      </c>
      <c r="H53" s="12" t="s">
        <v>186</v>
      </c>
    </row>
    <row r="54" spans="1:8" ht="15.75" x14ac:dyDescent="0.25">
      <c r="A54" s="12">
        <v>28</v>
      </c>
      <c r="B54" s="27" t="s">
        <v>100</v>
      </c>
      <c r="C54" s="27" t="s">
        <v>128</v>
      </c>
      <c r="D54" s="27" t="s">
        <v>109</v>
      </c>
      <c r="E54" s="27" t="s">
        <v>108</v>
      </c>
      <c r="F54" s="12" t="s">
        <v>144</v>
      </c>
      <c r="G54" s="34" t="s">
        <v>169</v>
      </c>
      <c r="H54" s="12" t="s">
        <v>185</v>
      </c>
    </row>
    <row r="55" spans="1:8" ht="15.75" x14ac:dyDescent="0.25">
      <c r="A55" s="12">
        <v>29</v>
      </c>
      <c r="B55" s="27" t="s">
        <v>101</v>
      </c>
      <c r="C55" s="27" t="s">
        <v>129</v>
      </c>
      <c r="D55" s="27" t="s">
        <v>109</v>
      </c>
      <c r="E55" s="27" t="s">
        <v>108</v>
      </c>
      <c r="F55" s="12" t="s">
        <v>139</v>
      </c>
      <c r="G55" s="34" t="s">
        <v>173</v>
      </c>
      <c r="H55" s="12" t="s">
        <v>207</v>
      </c>
    </row>
    <row r="56" spans="1:8" ht="15.75" x14ac:dyDescent="0.25">
      <c r="A56" s="12">
        <v>30</v>
      </c>
      <c r="B56" s="27" t="s">
        <v>102</v>
      </c>
      <c r="C56" s="27" t="s">
        <v>130</v>
      </c>
      <c r="D56" s="27" t="s">
        <v>109</v>
      </c>
      <c r="E56" s="27" t="s">
        <v>108</v>
      </c>
      <c r="F56" s="12" t="s">
        <v>143</v>
      </c>
      <c r="G56" s="34" t="s">
        <v>172</v>
      </c>
      <c r="H56" s="12" t="s">
        <v>208</v>
      </c>
    </row>
    <row r="57" spans="1:8" ht="15.75" x14ac:dyDescent="0.25">
      <c r="A57" s="12">
        <v>31</v>
      </c>
      <c r="B57" s="27" t="s">
        <v>103</v>
      </c>
      <c r="C57" s="27" t="s">
        <v>131</v>
      </c>
      <c r="D57" s="27" t="s">
        <v>109</v>
      </c>
      <c r="E57" s="27" t="s">
        <v>108</v>
      </c>
      <c r="F57" s="12" t="s">
        <v>144</v>
      </c>
      <c r="G57" s="34" t="s">
        <v>170</v>
      </c>
      <c r="H57" s="12" t="s">
        <v>184</v>
      </c>
    </row>
    <row r="58" spans="1:8" ht="15.75" x14ac:dyDescent="0.25">
      <c r="A58" s="12">
        <v>32</v>
      </c>
      <c r="B58" s="27" t="s">
        <v>104</v>
      </c>
      <c r="C58" s="27" t="s">
        <v>132</v>
      </c>
      <c r="D58" s="27" t="s">
        <v>109</v>
      </c>
      <c r="E58" s="27" t="s">
        <v>108</v>
      </c>
      <c r="F58" s="12" t="s">
        <v>144</v>
      </c>
      <c r="G58" s="34" t="s">
        <v>171</v>
      </c>
      <c r="H58" s="12" t="s">
        <v>183</v>
      </c>
    </row>
    <row r="59" spans="1:8" ht="15.75" x14ac:dyDescent="0.25">
      <c r="A59" s="12">
        <v>33</v>
      </c>
      <c r="B59" s="27" t="s">
        <v>105</v>
      </c>
      <c r="C59" s="27" t="s">
        <v>71</v>
      </c>
      <c r="E59" s="27"/>
      <c r="F59" s="12" t="s">
        <v>144</v>
      </c>
      <c r="G59" s="34" t="s">
        <v>176</v>
      </c>
      <c r="H59" s="12" t="s">
        <v>182</v>
      </c>
    </row>
    <row r="60" spans="1:8" ht="15.75" x14ac:dyDescent="0.25">
      <c r="A60" s="12">
        <v>34</v>
      </c>
      <c r="B60" s="27" t="s">
        <v>106</v>
      </c>
      <c r="C60" s="27" t="s">
        <v>72</v>
      </c>
      <c r="E60" s="27"/>
      <c r="F60" s="12" t="s">
        <v>144</v>
      </c>
      <c r="G60" s="34"/>
    </row>
    <row r="61" spans="1:8" x14ac:dyDescent="0.25">
      <c r="A61" s="12"/>
    </row>
    <row r="62" spans="1:8" x14ac:dyDescent="0.25">
      <c r="A62" s="12"/>
    </row>
    <row r="63" spans="1:8" x14ac:dyDescent="0.25">
      <c r="A63" s="12"/>
    </row>
    <row r="64" spans="1:8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x14ac:dyDescent="0.25">
      <c r="A68" s="12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opLeftCell="A4" zoomScaleNormal="100" workbookViewId="0">
      <selection activeCell="E5" sqref="E5"/>
    </sheetView>
  </sheetViews>
  <sheetFormatPr defaultColWidth="8.85546875" defaultRowHeight="15" x14ac:dyDescent="0.25"/>
  <cols>
    <col min="1" max="1" width="8" style="21" bestFit="1" customWidth="1"/>
    <col min="2" max="2" width="10.85546875" style="21" customWidth="1"/>
    <col min="3" max="3" width="10" style="21" bestFit="1" customWidth="1"/>
    <col min="4" max="4" width="49.5703125" style="21" bestFit="1" customWidth="1"/>
    <col min="5" max="5" width="67.7109375" style="21" customWidth="1"/>
    <col min="6" max="16384" width="8.85546875" style="21"/>
  </cols>
  <sheetData>
    <row r="1" spans="1:5" x14ac:dyDescent="0.25">
      <c r="A1" s="20"/>
      <c r="B1" s="20" t="s">
        <v>40</v>
      </c>
      <c r="C1" s="30" t="str">
        <f>+"https://10.11.62.82:28480/IRIS/api/v1.0.0/party/"&amp;Spec!$C$1</f>
        <v>https://10.11.62.82:28480/IRIS/api/v1.0.0/party/EL0010</v>
      </c>
      <c r="E1" s="19"/>
    </row>
    <row r="2" spans="1:5" x14ac:dyDescent="0.25">
      <c r="A2" s="19"/>
      <c r="B2" s="19" t="s">
        <v>41</v>
      </c>
      <c r="C2" s="30" t="str">
        <f>+"https://10.11.62.82:58480/IRIS/api/v1.0.0/party/"&amp;Spec!$C$1</f>
        <v>https://10.11.62.82:58480/IRIS/api/v1.0.0/party/EL0010</v>
      </c>
      <c r="E2" s="19"/>
    </row>
    <row r="3" spans="1:5" x14ac:dyDescent="0.25">
      <c r="B3" s="22" t="s">
        <v>27</v>
      </c>
      <c r="C3" s="23" t="s">
        <v>28</v>
      </c>
      <c r="D3" s="23" t="s">
        <v>29</v>
      </c>
      <c r="E3" s="24" t="s">
        <v>18</v>
      </c>
    </row>
    <row r="4" spans="1:5" ht="408.4" customHeight="1" x14ac:dyDescent="0.25">
      <c r="B4" s="25" t="s">
        <v>30</v>
      </c>
      <c r="C4" s="25"/>
      <c r="D4" s="26" t="s">
        <v>133</v>
      </c>
      <c r="E4" s="29" t="s">
        <v>134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50923C-95A5-44F6-BCC1-6F9FBFEF857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b2e9cef-f5ae-4fca-a593-546d369e6708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7585F3B-FC33-4850-9062-91E7B17DF372}"/>
</file>

<file path=customXml/itemProps3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核心應用部-永豐銀行 張玉青</cp:lastModifiedBy>
  <cp:revision/>
  <dcterms:created xsi:type="dcterms:W3CDTF">2020-03-13T10:54:50Z</dcterms:created>
  <dcterms:modified xsi:type="dcterms:W3CDTF">2022-10-17T02:29:27Z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