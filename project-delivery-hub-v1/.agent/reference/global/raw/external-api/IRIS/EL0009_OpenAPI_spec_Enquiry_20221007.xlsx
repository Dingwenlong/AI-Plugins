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onedrive.sph\DavWWWRoot\T24MOSS\Shared Documents\T24核心\IRIS\放款\"/>
    </mc:Choice>
  </mc:AlternateContent>
  <xr:revisionPtr revIDLastSave="0" documentId="13_ncr:1_{49CB111C-334B-49C1-8716-82F5B5D42138}" xr6:coauthVersionLast="44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C3" i="2" l="1"/>
  <c r="C2" i="3" l="1"/>
  <c r="C1" i="3"/>
</calcChain>
</file>

<file path=xl/sharedStrings.xml><?xml version="1.0" encoding="utf-8"?>
<sst xmlns="http://schemas.openxmlformats.org/spreadsheetml/2006/main" count="204" uniqueCount="156">
  <si>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</si>
  <si>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</si>
  <si>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</si>
  <si>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</si>
  <si>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</si>
  <si>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</si>
  <si>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</si>
  <si>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</si>
  <si>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</si>
  <si>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</si>
  <si>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</si>
  <si>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</si>
  <si>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</si>
  <si>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</si>
  <si>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</si>
  <si>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</si>
  <si>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</si>
  <si>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</si>
  <si>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</si>
  <si>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ENQ / TXN / AAA</t>
    <phoneticPr fontId="3" type="noConversion"/>
  </si>
  <si>
    <t>Header</t>
    <phoneticPr fontId="3" type="noConversion"/>
  </si>
  <si>
    <t>EQ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</si>
  <si>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</si>
  <si>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</si>
  <si>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</si>
  <si>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</si>
  <si>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</si>
  <si>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</si>
  <si>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</si>
  <si>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</si>
  <si>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</si>
  <si>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</si>
  <si>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</si>
  <si>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Document History</t>
    <phoneticPr fontId="3" type="noConversion"/>
  </si>
  <si>
    <t>Description</t>
    <phoneticPr fontId="3" type="noConversion"/>
  </si>
  <si>
    <t>API_Vocabulary</t>
    <phoneticPr fontId="3" type="noConversion"/>
  </si>
  <si>
    <t>API Vocabulary</t>
    <phoneticPr fontId="3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</si>
  <si>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</si>
  <si>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</si>
  <si>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翁崇閔</t>
    <phoneticPr fontId="3" type="noConversion"/>
  </si>
  <si>
    <t>Currency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</si>
  <si>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微軟正黑體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微軟正黑體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 xml:space="preserve">page_token + page_start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</si>
  <si>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14R</t>
    <phoneticPr fontId="3" type="noConversion"/>
  </si>
  <si>
    <t>3L</t>
    <phoneticPr fontId="3" type="noConversion"/>
  </si>
  <si>
    <t>List</t>
    <phoneticPr fontId="3" type="noConversion"/>
  </si>
  <si>
    <r>
      <rPr>
        <b/>
        <sz val="11"/>
        <rFont val="微軟正黑體"/>
        <family val="2"/>
        <charset val="136"/>
      </rPr>
      <t>欄位名稱</t>
    </r>
    <phoneticPr fontId="3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</si>
  <si>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</si>
  <si>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</si>
  <si>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</si>
  <si>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</si>
  <si>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</si>
  <si>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</si>
  <si>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t>Drawdown List</t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</si>
  <si>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</si>
  <si>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EL0009</t>
  </si>
  <si>
    <t>TMB.WHAT.IF.SUBLI.CLOSE</t>
    <phoneticPr fontId="3" type="noConversion"/>
  </si>
  <si>
    <r>
      <rPr>
        <sz val="11"/>
        <color theme="1"/>
        <rFont val="微軟正黑體"/>
        <family val="2"/>
        <charset val="136"/>
      </rPr>
      <t>停用私房錢查詢</t>
    </r>
    <phoneticPr fontId="3" type="noConversion"/>
  </si>
  <si>
    <t>OD.ACCOUNT</t>
  </si>
  <si>
    <t>CURRENCY</t>
  </si>
  <si>
    <t>MNEMONIC</t>
  </si>
  <si>
    <t>SUB.LIMIT.CLOSE</t>
  </si>
  <si>
    <t>RESULT</t>
  </si>
  <si>
    <t>OUTSTAND.OD.AC</t>
  </si>
  <si>
    <t>TOTAL.AMT</t>
  </si>
  <si>
    <t>MIN.REPAY.AMT</t>
  </si>
  <si>
    <t>NAB.CLOSE.AMT</t>
  </si>
  <si>
    <t>SUB.LIMIT</t>
  </si>
  <si>
    <t>AVAIL.MARKER</t>
  </si>
  <si>
    <t>LIM.AMT</t>
  </si>
  <si>
    <t>ACCRUED.INT</t>
  </si>
  <si>
    <t>OUTSTAND.PD</t>
  </si>
  <si>
    <t>OUTSTANDING.PE</t>
  </si>
  <si>
    <t>LEGAL.FEES</t>
  </si>
  <si>
    <t>TOT.OUTSTANDING</t>
  </si>
  <si>
    <t>NAB.AMT</t>
  </si>
  <si>
    <t>EnqOdAccount</t>
  </si>
  <si>
    <t>EnqCurrency</t>
  </si>
  <si>
    <t>EnqMnemonic</t>
  </si>
  <si>
    <t>EnqAcctTitle</t>
  </si>
  <si>
    <t>EnqSubLimitClose</t>
  </si>
  <si>
    <t>EnqResult</t>
  </si>
  <si>
    <t>EnqOutstandOdAc</t>
  </si>
  <si>
    <t>EnqTotalAmt</t>
  </si>
  <si>
    <t>EnqMinRepayAmt</t>
  </si>
  <si>
    <t>EnqBlockAmount</t>
  </si>
  <si>
    <t>EnqNabCloseAmt</t>
  </si>
  <si>
    <t>EnqSubLimit</t>
  </si>
  <si>
    <t>EnqIntRate</t>
  </si>
  <si>
    <t>EnqAvailMarker</t>
  </si>
  <si>
    <t>EnqLimAmt</t>
  </si>
  <si>
    <t>EnqAccruedInt</t>
  </si>
  <si>
    <t>EnqDeferredUnpaid</t>
  </si>
  <si>
    <t>EnqOutstandPd</t>
  </si>
  <si>
    <t>EnqOutstandingPe</t>
  </si>
  <si>
    <t>EnqLegalFees</t>
  </si>
  <si>
    <t>EnqTotOutstanding</t>
  </si>
  <si>
    <t>EnqNabAmt</t>
  </si>
  <si>
    <t>透支帳號</t>
  </si>
  <si>
    <t>幣別</t>
  </si>
  <si>
    <t>身份證統編</t>
  </si>
  <si>
    <t>戶名</t>
  </si>
  <si>
    <t>結清額度別</t>
  </si>
  <si>
    <t>日期</t>
  </si>
  <si>
    <t>帳戶餘額</t>
  </si>
  <si>
    <t>總額度清償須存入金額</t>
  </si>
  <si>
    <t>選擇結清額度須存入額</t>
  </si>
  <si>
    <t>止扣金額</t>
  </si>
  <si>
    <t>額度號碼</t>
  </si>
  <si>
    <t>計息利率</t>
    <phoneticPr fontId="3" type="noConversion"/>
  </si>
  <si>
    <t>有效記號</t>
  </si>
  <si>
    <t>核准額度</t>
  </si>
  <si>
    <t>領用息</t>
  </si>
  <si>
    <t>未逾期息</t>
  </si>
  <si>
    <t>逾期違約金</t>
  </si>
  <si>
    <t>訴訟費</t>
  </si>
  <si>
    <t>合計</t>
  </si>
  <si>
    <t>轉催金額</t>
  </si>
  <si>
    <t>OD account no</t>
    <phoneticPr fontId="3" type="noConversion"/>
  </si>
  <si>
    <t>Customer ID number</t>
    <phoneticPr fontId="3" type="noConversion"/>
  </si>
  <si>
    <t>35L</t>
    <phoneticPr fontId="3" type="noConversion"/>
  </si>
  <si>
    <t>ACCT.TITLE</t>
    <phoneticPr fontId="3" type="noConversion"/>
  </si>
  <si>
    <t>Customer name</t>
    <phoneticPr fontId="3" type="noConversion"/>
  </si>
  <si>
    <t>BLOCK.AMOUNT</t>
    <phoneticPr fontId="3" type="noConversion"/>
  </si>
  <si>
    <t>Block amount</t>
    <phoneticPr fontId="3" type="noConversion"/>
  </si>
  <si>
    <t>Limit available marker</t>
    <phoneticPr fontId="3" type="noConversion"/>
  </si>
  <si>
    <t>Limit amount</t>
    <phoneticPr fontId="3" type="noConversion"/>
  </si>
  <si>
    <t>Accrued interest</t>
    <phoneticPr fontId="3" type="noConversion"/>
  </si>
  <si>
    <t>DEFERRED.UNPAID</t>
    <phoneticPr fontId="3" type="noConversion"/>
  </si>
  <si>
    <t>Deferred unpaid interest</t>
    <phoneticPr fontId="3" type="noConversion"/>
  </si>
  <si>
    <t>NAB amount</t>
    <phoneticPr fontId="3" type="noConversion"/>
  </si>
  <si>
    <t>Legal Fee</t>
    <phoneticPr fontId="3" type="noConversion"/>
  </si>
  <si>
    <t>Interest rate</t>
    <phoneticPr fontId="3" type="noConversion"/>
  </si>
  <si>
    <t>Limit line</t>
    <phoneticPr fontId="3" type="noConversion"/>
  </si>
  <si>
    <t>19R</t>
    <phoneticPr fontId="3" type="noConversion"/>
  </si>
  <si>
    <t>Date</t>
    <phoneticPr fontId="3" type="noConversion"/>
  </si>
  <si>
    <t>OD account working Balance</t>
    <phoneticPr fontId="3" type="noConversion"/>
  </si>
  <si>
    <t>19R</t>
    <phoneticPr fontId="3" type="noConversion"/>
  </si>
  <si>
    <t>8R</t>
    <phoneticPr fontId="3" type="noConversion"/>
  </si>
  <si>
    <t>轉催結清金額</t>
    <phoneticPr fontId="3" type="noConversion"/>
  </si>
  <si>
    <t>32L</t>
    <phoneticPr fontId="3" type="noConversion"/>
  </si>
  <si>
    <t>INT.RATE</t>
    <phoneticPr fontId="3" type="noConversion"/>
  </si>
  <si>
    <t>11R</t>
    <phoneticPr fontId="3" type="noConversion"/>
  </si>
  <si>
    <t>1L</t>
    <phoneticPr fontId="3" type="noConversion"/>
  </si>
  <si>
    <t>Total outstanding</t>
    <phoneticPr fontId="3" type="noConversion"/>
  </si>
  <si>
    <t>逾期月付息</t>
    <phoneticPr fontId="3" type="noConversion"/>
  </si>
  <si>
    <t>Overdue penalty</t>
    <phoneticPr fontId="3" type="noConversion"/>
  </si>
  <si>
    <t>Overdue monthly interest</t>
    <phoneticPr fontId="3" type="noConversion"/>
  </si>
  <si>
    <t>EnqSubLimitRef: 996050.0002200.01
credentials: GCM113896/123456</t>
    <phoneticPr fontId="3" type="noConversion"/>
  </si>
  <si>
    <r>
      <t>{
  "header": {
    "audit": {
      "T24_time": 1145,
      "parse_time": 0
    },
    "page_start": 1,
    "page_token": "5073464398.01,99",
    "total_size": 1,
    "page_size": 99,
    "status": "success"
  },
  "body": [
    {
      "EnqAccruedInt": "3025",
      "EnqOdAccount": "18506200000037",
      "EnqTotOutstanding": "3025",
      "EnqResult": "20221007",
      "EnqDeferredUnpaid": "0",
      "EnqOutstandOdAc": "-600000",
      "EnqAvailMarker": "Y",
      "EnqNabCloseAmt": "603025",
      "EnqLegalFees": "0",
      "EnqSubLimitClose": "996050.0002200.01",
      "EnqAcctTitle":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996050",
      "EnqMinRepayAmt": "603025",
      "EnqNabAmt": "3025",
      "EnqTotalAmt": "603025",
      "EnqCurrency": "TWD",
      "EnqMnemonic": "F1310098600",
      "EnqBlockAmount": "0",
      "EnqOutstandingPe": "0",
      "EnqIntRate": "11.5",
      "EnqLimAmt": "30000000",
      "EnqSubLimit": "996050.0002200.01",
      "EnqOutstandPd": "0"
    }
  ]
}</t>
    </r>
    <phoneticPr fontId="3" type="noConversion"/>
  </si>
  <si>
    <t>EnqSubLimitRef</t>
    <phoneticPr fontId="3" type="noConversion"/>
  </si>
  <si>
    <t>SUB.LIMIT.REF</t>
    <phoneticPr fontId="3" type="noConversion"/>
  </si>
  <si>
    <t>NAB closure amount</t>
    <phoneticPr fontId="3" type="noConversion"/>
  </si>
  <si>
    <t>Close limt line</t>
    <phoneticPr fontId="3" type="noConversion"/>
  </si>
  <si>
    <t>total amount for closure limt</t>
    <phoneticPr fontId="3" type="noConversion"/>
  </si>
  <si>
    <t>amount for closure limt which customer choose</t>
    <phoneticPr fontId="3" type="noConversion"/>
  </si>
  <si>
    <t>Y
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</si>
</sst>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11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0" fillId="0" borderId="6" xfId="0" quotePrefix="1" applyFont="1" applyBorder="1"/>
    <xf numFmtId="0" fontId="13" fillId="0" borderId="6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10" fillId="0" borderId="0" xfId="0" applyFont="1" applyAlignment="1">
      <alignment wrapText="1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B5" sqref="B5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1" t="s">
        <v>18</v>
      </c>
      <c r="B1" s="42"/>
      <c r="C1" s="42"/>
      <c r="D1" s="42"/>
      <c r="E1" s="42"/>
    </row>
    <row r="2" spans="1:5" ht="20.100000000000001" customHeight="1" thickBot="1" x14ac:dyDescent="0.3">
      <c r="A2" s="38" t="s">
        <v>33</v>
      </c>
      <c r="B2" s="39"/>
      <c r="C2" s="39"/>
      <c r="D2" s="39"/>
      <c r="E2" s="40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>
        <v>44812</v>
      </c>
      <c r="C4" s="5" t="s">
        <v>6</v>
      </c>
      <c r="D4" s="33" t="s">
        <v>39</v>
      </c>
      <c r="E4" s="4" t="s">
        <v>7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88"/>
  <sheetViews>
    <sheetView tabSelected="1" zoomScale="90" zoomScaleNormal="90" workbookViewId="0">
      <selection activeCell="I30" sqref="I30"/>
    </sheetView>
  </sheetViews>
  <sheetFormatPr defaultColWidth="8.85546875" defaultRowHeight="15" x14ac:dyDescent="0.25"/>
  <cols>
    <col min="1" max="1" width="4.28515625" style="9" bestFit="1" customWidth="1"/>
    <col min="2" max="2" width="34.42578125" style="9" customWidth="1"/>
    <col min="3" max="3" width="72.85546875" style="12" bestFit="1" customWidth="1"/>
    <col min="4" max="4" width="18.28515625" style="12" bestFit="1" customWidth="1"/>
    <col min="5" max="5" width="33.7109375" style="12" bestFit="1" customWidth="1"/>
    <col min="6" max="6" width="25.140625" style="12" bestFit="1" customWidth="1"/>
    <col min="7" max="7" width="25.7109375" style="12" bestFit="1" customWidth="1"/>
    <col min="8" max="8" width="48.42578125" style="12" bestFit="1" customWidth="1"/>
    <col min="9" max="9" width="15.42578125" style="12" bestFit="1" customWidth="1"/>
    <col min="10" max="16384" width="8.85546875" style="12"/>
  </cols>
  <sheetData>
    <row r="1" spans="1:9" x14ac:dyDescent="0.25">
      <c r="B1" s="10" t="s">
        <v>37</v>
      </c>
      <c r="C1" s="11" t="s">
        <v>54</v>
      </c>
    </row>
    <row r="2" spans="1:9" x14ac:dyDescent="0.25">
      <c r="B2" s="10" t="s">
        <v>34</v>
      </c>
      <c r="C2" s="11" t="s">
        <v>56</v>
      </c>
    </row>
    <row r="3" spans="1:9" x14ac:dyDescent="0.25">
      <c r="B3" s="10" t="s">
        <v>8</v>
      </c>
      <c r="C3" s="11" t="str">
        <f>+"/api/v1.0.0/party/"&amp;C1</f>
        <v>/api/v1.0.0/party/EL0009</v>
      </c>
    </row>
    <row r="4" spans="1:9" ht="90" x14ac:dyDescent="0.25">
      <c r="B4" s="10" t="s">
        <v>20</v>
      </c>
      <c r="C4" s="13" t="s">
        <v>41</v>
      </c>
    </row>
    <row r="5" spans="1:9" x14ac:dyDescent="0.25">
      <c r="B5" s="10" t="s">
        <v>25</v>
      </c>
      <c r="C5" s="11" t="s">
        <v>9</v>
      </c>
    </row>
    <row r="6" spans="1:9" x14ac:dyDescent="0.25">
      <c r="B6" s="10" t="s">
        <v>19</v>
      </c>
      <c r="C6" s="11" t="s">
        <v>10</v>
      </c>
    </row>
    <row r="7" spans="1:9" x14ac:dyDescent="0.25">
      <c r="B7" s="10" t="s">
        <v>30</v>
      </c>
      <c r="C7" s="11" t="s">
        <v>55</v>
      </c>
    </row>
    <row r="8" spans="1:9" x14ac:dyDescent="0.25">
      <c r="B8" s="10" t="s">
        <v>22</v>
      </c>
      <c r="C8" s="11" t="str">
        <f>+"ENQ.API."&amp;$C$1&amp;".1.0.0"</f>
        <v>ENQ.API.EL0009.1.0.0</v>
      </c>
    </row>
    <row r="9" spans="1:9" x14ac:dyDescent="0.25">
      <c r="B9" s="12"/>
    </row>
    <row r="10" spans="1:9" x14ac:dyDescent="0.25">
      <c r="B10" s="12"/>
    </row>
    <row r="11" spans="1:9" x14ac:dyDescent="0.25">
      <c r="B11" s="10" t="s">
        <v>11</v>
      </c>
      <c r="C11" s="14" t="s">
        <v>35</v>
      </c>
      <c r="D11" s="10" t="s">
        <v>12</v>
      </c>
      <c r="E11" s="15" t="s">
        <v>38</v>
      </c>
      <c r="F11" s="15" t="s">
        <v>44</v>
      </c>
    </row>
    <row r="12" spans="1:9" x14ac:dyDescent="0.25">
      <c r="B12" s="16" t="s">
        <v>150</v>
      </c>
      <c r="C12" s="17" t="s">
        <v>149</v>
      </c>
      <c r="D12" s="11" t="s">
        <v>21</v>
      </c>
      <c r="E12" s="11"/>
      <c r="F12" s="11"/>
    </row>
    <row r="13" spans="1:9" x14ac:dyDescent="0.25">
      <c r="B13" s="12"/>
      <c r="D13" s="18"/>
    </row>
    <row r="14" spans="1:9" x14ac:dyDescent="0.25">
      <c r="A14" s="19"/>
      <c r="B14" s="18"/>
      <c r="C14" s="19"/>
      <c r="D14" s="18"/>
      <c r="E14" s="18"/>
      <c r="F14" s="18"/>
    </row>
    <row r="15" spans="1:9" s="22" customFormat="1" x14ac:dyDescent="0.25">
      <c r="A15" s="20" t="s">
        <v>13</v>
      </c>
      <c r="B15" s="20" t="s">
        <v>14</v>
      </c>
      <c r="C15" s="20" t="s">
        <v>36</v>
      </c>
      <c r="D15" s="21" t="s">
        <v>23</v>
      </c>
      <c r="E15" s="20" t="s">
        <v>15</v>
      </c>
      <c r="F15" s="20" t="s">
        <v>16</v>
      </c>
      <c r="G15" s="20" t="s">
        <v>24</v>
      </c>
      <c r="H15" s="20" t="s">
        <v>24</v>
      </c>
      <c r="I15" s="20" t="s">
        <v>52</v>
      </c>
    </row>
    <row r="16" spans="1:9" s="22" customFormat="1" x14ac:dyDescent="0.25">
      <c r="A16" s="20"/>
      <c r="B16" s="20" t="s">
        <v>45</v>
      </c>
      <c r="C16" s="20" t="s">
        <v>46</v>
      </c>
      <c r="D16" s="20" t="s">
        <v>47</v>
      </c>
      <c r="E16" s="20" t="s">
        <v>48</v>
      </c>
      <c r="F16" s="20" t="s">
        <v>49</v>
      </c>
      <c r="G16" s="20" t="s">
        <v>50</v>
      </c>
      <c r="H16" s="20" t="s">
        <v>51</v>
      </c>
      <c r="I16" s="20" t="s">
        <v>53</v>
      </c>
    </row>
    <row r="17" spans="1:9" ht="15.75" x14ac:dyDescent="0.25">
      <c r="A17" s="12">
        <v>1</v>
      </c>
      <c r="B17" s="34" t="s">
        <v>57</v>
      </c>
      <c r="C17" s="34" t="s">
        <v>75</v>
      </c>
      <c r="F17" s="12" t="s">
        <v>42</v>
      </c>
      <c r="G17" s="35" t="s">
        <v>97</v>
      </c>
      <c r="H17" s="9" t="s">
        <v>117</v>
      </c>
    </row>
    <row r="18" spans="1:9" ht="15.75" x14ac:dyDescent="0.25">
      <c r="A18" s="12">
        <v>2</v>
      </c>
      <c r="B18" s="34" t="s">
        <v>58</v>
      </c>
      <c r="C18" s="34" t="s">
        <v>76</v>
      </c>
      <c r="F18" s="12" t="s">
        <v>43</v>
      </c>
      <c r="G18" s="35" t="s">
        <v>98</v>
      </c>
      <c r="H18" s="9" t="s">
        <v>40</v>
      </c>
    </row>
    <row r="19" spans="1:9" ht="15.75" x14ac:dyDescent="0.25">
      <c r="A19" s="12">
        <v>3</v>
      </c>
      <c r="B19" s="34" t="s">
        <v>59</v>
      </c>
      <c r="C19" s="34" t="s">
        <v>77</v>
      </c>
      <c r="F19" s="12" t="s">
        <v>119</v>
      </c>
      <c r="G19" s="35" t="s">
        <v>99</v>
      </c>
      <c r="H19" s="9" t="s">
        <v>118</v>
      </c>
    </row>
    <row r="20" spans="1:9" ht="15.75" x14ac:dyDescent="0.25">
      <c r="A20" s="12">
        <v>4</v>
      </c>
      <c r="B20" s="34" t="s">
        <v>120</v>
      </c>
      <c r="C20" s="34" t="s">
        <v>78</v>
      </c>
      <c r="F20" s="12" t="s">
        <v>119</v>
      </c>
      <c r="G20" s="35" t="s">
        <v>100</v>
      </c>
      <c r="H20" s="9" t="s">
        <v>121</v>
      </c>
    </row>
    <row r="21" spans="1:9" ht="15.75" x14ac:dyDescent="0.25">
      <c r="A21" s="12">
        <v>5</v>
      </c>
      <c r="B21" s="34" t="s">
        <v>60</v>
      </c>
      <c r="C21" s="34" t="s">
        <v>79</v>
      </c>
      <c r="G21" s="35" t="s">
        <v>101</v>
      </c>
      <c r="H21" s="9" t="s">
        <v>152</v>
      </c>
    </row>
    <row r="22" spans="1:9" ht="15.75" x14ac:dyDescent="0.25">
      <c r="A22" s="12">
        <v>6</v>
      </c>
      <c r="B22" s="34" t="s">
        <v>61</v>
      </c>
      <c r="C22" s="34" t="s">
        <v>80</v>
      </c>
      <c r="F22" s="12" t="s">
        <v>137</v>
      </c>
      <c r="G22" s="35" t="s">
        <v>102</v>
      </c>
      <c r="H22" s="9" t="s">
        <v>134</v>
      </c>
    </row>
    <row r="23" spans="1:9" ht="15.75" x14ac:dyDescent="0.25">
      <c r="A23" s="12">
        <v>7</v>
      </c>
      <c r="B23" s="34" t="s">
        <v>62</v>
      </c>
      <c r="C23" s="34" t="s">
        <v>81</v>
      </c>
      <c r="F23" s="12" t="s">
        <v>136</v>
      </c>
      <c r="G23" s="36" t="s">
        <v>103</v>
      </c>
      <c r="H23" s="12" t="s">
        <v>135</v>
      </c>
    </row>
    <row r="24" spans="1:9" ht="15.75" x14ac:dyDescent="0.25">
      <c r="A24" s="12">
        <v>8</v>
      </c>
      <c r="B24" s="9" t="s">
        <v>63</v>
      </c>
      <c r="C24" s="12" t="s">
        <v>82</v>
      </c>
      <c r="F24" s="12" t="s">
        <v>133</v>
      </c>
      <c r="G24" s="36" t="s">
        <v>104</v>
      </c>
      <c r="H24" s="12" t="s">
        <v>153</v>
      </c>
    </row>
    <row r="25" spans="1:9" ht="15.75" x14ac:dyDescent="0.25">
      <c r="A25" s="12">
        <v>9</v>
      </c>
      <c r="B25" s="9" t="s">
        <v>64</v>
      </c>
      <c r="C25" s="12" t="s">
        <v>83</v>
      </c>
      <c r="F25" s="12" t="s">
        <v>133</v>
      </c>
      <c r="G25" s="36" t="s">
        <v>105</v>
      </c>
      <c r="H25" s="12" t="s">
        <v>154</v>
      </c>
    </row>
    <row r="26" spans="1:9" ht="15.75" x14ac:dyDescent="0.25">
      <c r="A26" s="12">
        <v>10</v>
      </c>
      <c r="B26" s="9" t="s">
        <v>122</v>
      </c>
      <c r="C26" s="12" t="s">
        <v>84</v>
      </c>
      <c r="F26" s="12" t="s">
        <v>133</v>
      </c>
      <c r="G26" s="36" t="s">
        <v>106</v>
      </c>
      <c r="H26" s="12" t="s">
        <v>123</v>
      </c>
    </row>
    <row r="27" spans="1:9" ht="15.75" x14ac:dyDescent="0.25">
      <c r="A27" s="12">
        <v>11</v>
      </c>
      <c r="B27" s="9" t="s">
        <v>65</v>
      </c>
      <c r="C27" s="12" t="s">
        <v>85</v>
      </c>
      <c r="F27" s="12" t="s">
        <v>133</v>
      </c>
      <c r="G27" s="36" t="s">
        <v>138</v>
      </c>
      <c r="H27" s="12" t="s">
        <v>151</v>
      </c>
    </row>
    <row r="28" spans="1:9" ht="15.75" x14ac:dyDescent="0.25">
      <c r="A28" s="12">
        <v>12</v>
      </c>
      <c r="B28" s="9" t="s">
        <v>66</v>
      </c>
      <c r="C28" s="12" t="s">
        <v>86</v>
      </c>
      <c r="F28" s="12" t="s">
        <v>139</v>
      </c>
      <c r="G28" s="36" t="s">
        <v>107</v>
      </c>
      <c r="H28" s="12" t="s">
        <v>132</v>
      </c>
    </row>
    <row r="29" spans="1:9" ht="15.75" x14ac:dyDescent="0.25">
      <c r="A29" s="12">
        <v>13</v>
      </c>
      <c r="B29" s="9" t="s">
        <v>140</v>
      </c>
      <c r="C29" s="12" t="s">
        <v>87</v>
      </c>
      <c r="F29" s="12" t="s">
        <v>141</v>
      </c>
      <c r="G29" s="37" t="s">
        <v>108</v>
      </c>
      <c r="H29" s="12" t="s">
        <v>131</v>
      </c>
    </row>
    <row r="30" spans="1:9" ht="30" x14ac:dyDescent="0.25">
      <c r="A30" s="12">
        <v>14</v>
      </c>
      <c r="B30" s="9" t="s">
        <v>67</v>
      </c>
      <c r="C30" s="12" t="s">
        <v>88</v>
      </c>
      <c r="F30" s="12" t="s">
        <v>142</v>
      </c>
      <c r="G30" s="36" t="s">
        <v>109</v>
      </c>
      <c r="H30" s="12" t="s">
        <v>124</v>
      </c>
      <c r="I30" s="43" t="s">
        <v>155</v>
      </c>
    </row>
    <row r="31" spans="1:9" ht="15.75" x14ac:dyDescent="0.25">
      <c r="A31" s="12">
        <v>15</v>
      </c>
      <c r="B31" s="9" t="s">
        <v>68</v>
      </c>
      <c r="C31" s="12" t="s">
        <v>89</v>
      </c>
      <c r="F31" s="12" t="s">
        <v>133</v>
      </c>
      <c r="G31" s="36" t="s">
        <v>110</v>
      </c>
      <c r="H31" s="12" t="s">
        <v>125</v>
      </c>
    </row>
    <row r="32" spans="1:9" ht="15.75" x14ac:dyDescent="0.25">
      <c r="A32" s="12">
        <v>16</v>
      </c>
      <c r="B32" s="9" t="s">
        <v>69</v>
      </c>
      <c r="C32" s="12" t="s">
        <v>90</v>
      </c>
      <c r="F32" s="12" t="s">
        <v>133</v>
      </c>
      <c r="G32" s="36" t="s">
        <v>111</v>
      </c>
      <c r="H32" s="12" t="s">
        <v>126</v>
      </c>
    </row>
    <row r="33" spans="1:8" ht="15.75" x14ac:dyDescent="0.25">
      <c r="A33" s="12">
        <v>17</v>
      </c>
      <c r="B33" s="9" t="s">
        <v>127</v>
      </c>
      <c r="C33" s="12" t="s">
        <v>91</v>
      </c>
      <c r="F33" s="12" t="s">
        <v>133</v>
      </c>
      <c r="G33" s="36" t="s">
        <v>112</v>
      </c>
      <c r="H33" s="12" t="s">
        <v>128</v>
      </c>
    </row>
    <row r="34" spans="1:8" ht="15.75" x14ac:dyDescent="0.25">
      <c r="A34" s="12">
        <v>18</v>
      </c>
      <c r="B34" s="9" t="s">
        <v>70</v>
      </c>
      <c r="C34" s="12" t="s">
        <v>92</v>
      </c>
      <c r="F34" s="12" t="s">
        <v>133</v>
      </c>
      <c r="G34" s="36" t="s">
        <v>144</v>
      </c>
      <c r="H34" s="12" t="s">
        <v>146</v>
      </c>
    </row>
    <row r="35" spans="1:8" ht="15.75" x14ac:dyDescent="0.25">
      <c r="A35" s="12">
        <v>19</v>
      </c>
      <c r="B35" s="9" t="s">
        <v>71</v>
      </c>
      <c r="C35" s="12" t="s">
        <v>93</v>
      </c>
      <c r="F35" s="12" t="s">
        <v>133</v>
      </c>
      <c r="G35" s="36" t="s">
        <v>113</v>
      </c>
      <c r="H35" s="12" t="s">
        <v>145</v>
      </c>
    </row>
    <row r="36" spans="1:8" ht="14.45" customHeight="1" x14ac:dyDescent="0.25">
      <c r="A36" s="12">
        <v>20</v>
      </c>
      <c r="B36" s="9" t="s">
        <v>72</v>
      </c>
      <c r="C36" s="12" t="s">
        <v>94</v>
      </c>
      <c r="F36" s="12" t="s">
        <v>133</v>
      </c>
      <c r="G36" s="36" t="s">
        <v>114</v>
      </c>
      <c r="H36" s="12" t="s">
        <v>130</v>
      </c>
    </row>
    <row r="37" spans="1:8" ht="15.75" x14ac:dyDescent="0.25">
      <c r="A37" s="12">
        <v>21</v>
      </c>
      <c r="B37" s="9" t="s">
        <v>73</v>
      </c>
      <c r="C37" s="12" t="s">
        <v>95</v>
      </c>
      <c r="F37" s="12" t="s">
        <v>133</v>
      </c>
      <c r="G37" s="36" t="s">
        <v>115</v>
      </c>
      <c r="H37" s="12" t="s">
        <v>143</v>
      </c>
    </row>
    <row r="38" spans="1:8" ht="15.75" x14ac:dyDescent="0.25">
      <c r="A38" s="12">
        <v>22</v>
      </c>
      <c r="B38" s="9" t="s">
        <v>74</v>
      </c>
      <c r="C38" s="12" t="s">
        <v>96</v>
      </c>
      <c r="F38" s="12" t="s">
        <v>133</v>
      </c>
      <c r="G38" s="36" t="s">
        <v>116</v>
      </c>
      <c r="H38" s="12" t="s">
        <v>129</v>
      </c>
    </row>
    <row r="39" spans="1:8" x14ac:dyDescent="0.25">
      <c r="A39" s="12"/>
    </row>
    <row r="40" spans="1:8" x14ac:dyDescent="0.25">
      <c r="A40" s="12"/>
    </row>
    <row r="41" spans="1:8" x14ac:dyDescent="0.25">
      <c r="A41" s="12"/>
    </row>
    <row r="42" spans="1:8" x14ac:dyDescent="0.25">
      <c r="A42" s="12"/>
    </row>
    <row r="43" spans="1:8" x14ac:dyDescent="0.25">
      <c r="A43" s="12"/>
    </row>
    <row r="44" spans="1:8" x14ac:dyDescent="0.25">
      <c r="A44" s="12"/>
    </row>
    <row r="45" spans="1:8" x14ac:dyDescent="0.25">
      <c r="A45" s="12"/>
    </row>
    <row r="46" spans="1:8" x14ac:dyDescent="0.25">
      <c r="A46" s="12"/>
    </row>
    <row r="47" spans="1:8" x14ac:dyDescent="0.25">
      <c r="A47" s="12"/>
    </row>
    <row r="48" spans="1:8" ht="14.45" customHeight="1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2"/>
    </row>
    <row r="55" spans="1:1" x14ac:dyDescent="0.25">
      <c r="A55" s="12"/>
    </row>
    <row r="56" spans="1:1" x14ac:dyDescent="0.25">
      <c r="A56" s="12"/>
    </row>
    <row r="57" spans="1:1" x14ac:dyDescent="0.25">
      <c r="A57" s="12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2"/>
    </row>
    <row r="76" spans="1:1" x14ac:dyDescent="0.25">
      <c r="A76" s="12"/>
    </row>
    <row r="77" spans="1:1" x14ac:dyDescent="0.25">
      <c r="A77" s="12"/>
    </row>
    <row r="78" spans="1:1" x14ac:dyDescent="0.25">
      <c r="A78" s="12"/>
    </row>
    <row r="79" spans="1:1" x14ac:dyDescent="0.25">
      <c r="A79" s="12"/>
    </row>
    <row r="80" spans="1:1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="80" zoomScaleNormal="80" workbookViewId="0">
      <selection activeCell="D4" sqref="D4"/>
    </sheetView>
  </sheetViews>
  <sheetFormatPr defaultColWidth="8.85546875" defaultRowHeight="15.75" x14ac:dyDescent="0.25"/>
  <cols>
    <col min="1" max="1" width="8" style="24" bestFit="1" customWidth="1"/>
    <col min="2" max="2" width="10.85546875" style="24" customWidth="1"/>
    <col min="3" max="3" width="10" style="24" bestFit="1" customWidth="1"/>
    <col min="4" max="4" width="39.5703125" style="24" bestFit="1" customWidth="1"/>
    <col min="5" max="5" width="67.7109375" style="24" customWidth="1"/>
    <col min="6" max="16384" width="8.85546875" style="24"/>
  </cols>
  <sheetData>
    <row r="1" spans="1:5" x14ac:dyDescent="0.25">
      <c r="B1" s="23" t="s">
        <v>31</v>
      </c>
      <c r="C1" s="32" t="str">
        <f>+"http://10.11.62.82:28080/IRIS/api/v1.0.0/party/"&amp;Spec!$C$1</f>
        <v>http://10.11.62.82:28080/IRIS/api/v1.0.0/party/EL0009</v>
      </c>
      <c r="D1" s="23"/>
      <c r="E1" s="22"/>
    </row>
    <row r="2" spans="1:5" x14ac:dyDescent="0.25">
      <c r="A2" s="22"/>
      <c r="B2" s="22" t="s">
        <v>32</v>
      </c>
      <c r="C2" s="32" t="str">
        <f>+"http://10.11.62.82:58080/IRIS/api/v1.0.0/party/"&amp;Spec!$C$1</f>
        <v>http://10.11.62.82:58080/IRIS/api/v1.0.0/party/EL0009</v>
      </c>
      <c r="D2" s="12"/>
      <c r="E2" s="22"/>
    </row>
    <row r="3" spans="1:5" x14ac:dyDescent="0.25">
      <c r="A3" s="25"/>
      <c r="B3" s="26" t="s">
        <v>26</v>
      </c>
      <c r="C3" s="27" t="s">
        <v>27</v>
      </c>
      <c r="D3" s="27" t="s">
        <v>28</v>
      </c>
      <c r="E3" s="28" t="s">
        <v>17</v>
      </c>
    </row>
    <row r="4" spans="1:5" ht="408.4" customHeight="1" x14ac:dyDescent="0.25">
      <c r="A4" s="25"/>
      <c r="B4" s="29" t="s">
        <v>29</v>
      </c>
      <c r="C4" s="29"/>
      <c r="D4" s="31" t="s">
        <v>147</v>
      </c>
      <c r="E4" s="30" t="s">
        <v>148</v>
      </c>
    </row>
    <row r="5" spans="1:5" x14ac:dyDescent="0.25">
      <c r="B5" s="29"/>
      <c r="C5" s="29"/>
      <c r="D5" s="31"/>
      <c r="E5" s="30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D7EF6-8147-4C9E-B8C8-CC61DD3509E0}"/>
</file>

<file path=customXml/itemProps2.xml><?xml version="1.0" encoding="utf-8"?>
<ds:datastoreItem xmlns:ds="http://schemas.openxmlformats.org/officeDocument/2006/customXml" ds:itemID="{DD50923C-95A5-44F6-BCC1-6F9FBFEF8573}">
  <ds:schemaRefs>
    <ds:schemaRef ds:uri="http://schemas.microsoft.com/office/2006/documentManagement/types"/>
    <ds:schemaRef ds:uri="ab2e9cef-f5ae-4fca-a593-546d369e6708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陳筱雅-核心應用部-永豐銀行</cp:lastModifiedBy>
  <cp:revision/>
  <dcterms:created xsi:type="dcterms:W3CDTF">2020-03-13T10:54:50Z</dcterms:created>
  <dcterms:modified xsi:type="dcterms:W3CDTF">2022-10-13T10:39:33Z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