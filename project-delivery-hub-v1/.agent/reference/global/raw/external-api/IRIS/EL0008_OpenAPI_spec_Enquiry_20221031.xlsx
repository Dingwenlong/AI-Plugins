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://onedrive.sph/T24MOSS/Shared Documents/T24核心/IRIS/放款/"/>
    </mc:Choice>
  </mc:AlternateContent>
  <xr:revisionPtr revIDLastSave="0" documentId="13_ncr:1_{C4E2C922-9F16-4ECF-BE01-38C7975E7F74}" xr6:coauthVersionLast="36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Document History" sheetId="1" r:id="rId1"/>
    <sheet name="Spec" sheetId="2" r:id="rId2"/>
    <sheet name="JSON Request-Response" sheetId="3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C8" i="2"/>
  <c r="C3" i="2"/>
  <c r="C1" i="3"/>
</calcChain>
</file>

<file path=xl/sharedStrings.xml><?xml version="1.0" encoding="utf-8"?>
<sst xmlns="http://schemas.openxmlformats.org/spreadsheetml/2006/main" count="287" uniqueCount="219">
  <si>
    <t xml:space="preserve">Notice：
</t>
    <phoneticPr fontId="3" type="noConversion"/>
  </si>
  <si>
    <t>Document History</t>
    <phoneticPr fontId="3" type="noConversion"/>
  </si>
  <si>
    <t>Version</t>
  </si>
  <si>
    <t>Date</t>
  </si>
  <si>
    <t>Comments / Change Description</t>
  </si>
  <si>
    <t>Author</t>
  </si>
  <si>
    <t>Note</t>
  </si>
  <si>
    <t>1.0</t>
  </si>
  <si>
    <t>Initial draft</t>
  </si>
  <si>
    <t>翁崇閔</t>
    <phoneticPr fontId="3" type="noConversion"/>
  </si>
  <si>
    <t/>
  </si>
  <si>
    <r>
      <t>API KEY (</t>
    </r>
    <r>
      <rPr>
        <b/>
        <sz val="11"/>
        <rFont val="微軟正黑體"/>
        <family val="2"/>
        <charset val="136"/>
      </rPr>
      <t>代號</t>
    </r>
    <r>
      <rPr>
        <b/>
        <sz val="11"/>
        <rFont val="Calibri"/>
        <family val="2"/>
      </rPr>
      <t>)</t>
    </r>
    <phoneticPr fontId="3" type="noConversion"/>
  </si>
  <si>
    <t>EL0008</t>
    <phoneticPr fontId="3" type="noConversion"/>
  </si>
  <si>
    <t>Description</t>
    <phoneticPr fontId="3" type="noConversion"/>
  </si>
  <si>
    <r>
      <rPr>
        <sz val="11"/>
        <color theme="1"/>
        <rFont val="微軟正黑體"/>
        <family val="2"/>
        <charset val="136"/>
      </rPr>
      <t>私房錢總覽</t>
    </r>
    <phoneticPr fontId="3" type="noConversion"/>
  </si>
  <si>
    <t>URL</t>
  </si>
  <si>
    <t>Header</t>
    <phoneticPr fontId="3" type="noConversion"/>
  </si>
  <si>
    <r>
      <t xml:space="preserve">page_size: </t>
    </r>
    <r>
      <rPr>
        <sz val="11"/>
        <color theme="1"/>
        <rFont val="微軟正黑體"/>
        <family val="2"/>
        <charset val="136"/>
      </rPr>
      <t xml:space="preserve">每頁筆數
</t>
    </r>
    <r>
      <rPr>
        <sz val="11"/>
        <color theme="1"/>
        <rFont val="Calibri"/>
        <family val="2"/>
      </rPr>
      <t xml:space="preserve">page_start: </t>
    </r>
    <r>
      <rPr>
        <sz val="11"/>
        <color theme="1"/>
        <rFont val="微軟正黑體"/>
        <family val="2"/>
        <charset val="136"/>
      </rPr>
      <t xml:space="preserve">從第幾頁開始
</t>
    </r>
    <r>
      <rPr>
        <sz val="11"/>
        <color theme="1"/>
        <rFont val="Calibri"/>
        <family val="2"/>
      </rPr>
      <t xml:space="preserve">page_token: </t>
    </r>
    <r>
      <rPr>
        <sz val="11"/>
        <color theme="1"/>
        <rFont val="微軟正黑體"/>
        <family val="2"/>
        <charset val="136"/>
      </rPr>
      <t>查詢回饋的</t>
    </r>
    <r>
      <rPr>
        <sz val="11"/>
        <color theme="1"/>
        <rFont val="Calibri"/>
        <family val="2"/>
      </rPr>
      <t>ID</t>
    </r>
    <r>
      <rPr>
        <sz val="11"/>
        <color theme="1"/>
        <rFont val="微軟正黑體"/>
        <family val="2"/>
        <charset val="136"/>
      </rPr>
      <t>，以</t>
    </r>
    <r>
      <rPr>
        <sz val="11"/>
        <color theme="1"/>
        <rFont val="Calibri"/>
        <family val="2"/>
      </rPr>
      <t xml:space="preserve">unique id + ',' + page_size </t>
    </r>
    <r>
      <rPr>
        <sz val="11"/>
        <color theme="1"/>
        <rFont val="微軟正黑體"/>
        <family val="2"/>
        <charset val="136"/>
      </rPr>
      <t>組成，查詢相同條件切不同頁面時，可配合回傳</t>
    </r>
    <r>
      <rPr>
        <sz val="11"/>
        <color theme="1"/>
        <rFont val="Calibri"/>
        <family val="2"/>
      </rPr>
      <t xml:space="preserve">page_token + page_start
companyId: </t>
    </r>
    <r>
      <rPr>
        <sz val="11"/>
        <color theme="1"/>
        <rFont val="微軟正黑體"/>
        <family val="2"/>
        <charset val="136"/>
      </rPr>
      <t xml:space="preserve">分行別
</t>
    </r>
    <r>
      <rPr>
        <sz val="11"/>
        <color theme="1"/>
        <rFont val="Calibri"/>
        <family val="2"/>
      </rPr>
      <t xml:space="preserve">credentials: </t>
    </r>
    <r>
      <rPr>
        <sz val="11"/>
        <color theme="1"/>
        <rFont val="微軟正黑體"/>
        <family val="2"/>
        <charset val="136"/>
      </rPr>
      <t>帳號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密碼</t>
    </r>
    <phoneticPr fontId="3" type="noConversion"/>
  </si>
  <si>
    <t>METHOD (GET/POST/PUT/DELETE)</t>
    <phoneticPr fontId="3" type="noConversion"/>
  </si>
  <si>
    <t>GET</t>
  </si>
  <si>
    <t>ENQ / TXN / AAA</t>
    <phoneticPr fontId="3" type="noConversion"/>
  </si>
  <si>
    <t>ENQ</t>
  </si>
  <si>
    <t>Original ENQUIRY ID</t>
    <phoneticPr fontId="3" type="noConversion"/>
  </si>
  <si>
    <t>TMB.OD.DUMMY.DTL</t>
  </si>
  <si>
    <t>ENQUIRY ID</t>
    <phoneticPr fontId="3" type="noConversion"/>
  </si>
  <si>
    <t>SELECTION</t>
  </si>
  <si>
    <t>API_Vocabulary</t>
    <phoneticPr fontId="3" type="noConversion"/>
  </si>
  <si>
    <t>OPERAND</t>
  </si>
  <si>
    <r>
      <t>Mandatory (</t>
    </r>
    <r>
      <rPr>
        <b/>
        <sz val="11"/>
        <color theme="1"/>
        <rFont val="微軟正黑體"/>
        <family val="2"/>
        <charset val="136"/>
      </rPr>
      <t>必填</t>
    </r>
    <r>
      <rPr>
        <b/>
        <sz val="11"/>
        <color theme="1"/>
        <rFont val="Calibri"/>
        <family val="2"/>
      </rPr>
      <t>)</t>
    </r>
    <phoneticPr fontId="3" type="noConversion"/>
  </si>
  <si>
    <t>List</t>
    <phoneticPr fontId="3" type="noConversion"/>
  </si>
  <si>
    <t>MNEMONIC</t>
  </si>
  <si>
    <t>EnqMnemonic</t>
  </si>
  <si>
    <t>EQ</t>
    <phoneticPr fontId="3" type="noConversion"/>
  </si>
  <si>
    <t>CUST.ACCT</t>
  </si>
  <si>
    <t>EnqCustAcct</t>
  </si>
  <si>
    <t>放空</t>
  </si>
  <si>
    <t>LIMIT.LINE</t>
  </si>
  <si>
    <t>EnqLimitLine</t>
  </si>
  <si>
    <t>INFO.INT.FG</t>
  </si>
  <si>
    <t>EnqInfoIntFg</t>
  </si>
  <si>
    <t>先固定放Y</t>
  </si>
  <si>
    <t>No</t>
  </si>
  <si>
    <t>Field name</t>
  </si>
  <si>
    <t>API Vocabulary</t>
    <phoneticPr fontId="3" type="noConversion"/>
  </si>
  <si>
    <t>COMMENTS</t>
    <phoneticPr fontId="3" type="noConversion"/>
  </si>
  <si>
    <t>Single Multi</t>
  </si>
  <si>
    <t>Length</t>
  </si>
  <si>
    <t>Field Description</t>
    <phoneticPr fontId="3" type="noConversion"/>
  </si>
  <si>
    <t>Drawdown List</t>
    <phoneticPr fontId="3" type="noConversion"/>
  </si>
  <si>
    <r>
      <rPr>
        <b/>
        <sz val="11"/>
        <rFont val="微軟正黑體"/>
        <family val="2"/>
        <charset val="136"/>
      </rPr>
      <t>欄位名稱</t>
    </r>
    <phoneticPr fontId="3" type="noConversion"/>
  </si>
  <si>
    <r>
      <rPr>
        <b/>
        <sz val="11"/>
        <rFont val="微軟正黑體"/>
        <family val="2"/>
        <charset val="136"/>
      </rPr>
      <t>對應</t>
    </r>
    <r>
      <rPr>
        <b/>
        <sz val="11"/>
        <rFont val="Calibri"/>
        <family val="2"/>
      </rPr>
      <t>API Vocabulary</t>
    </r>
    <phoneticPr fontId="3" type="noConversion"/>
  </si>
  <si>
    <r>
      <rPr>
        <b/>
        <sz val="11"/>
        <rFont val="微軟正黑體"/>
        <family val="2"/>
        <charset val="136"/>
      </rPr>
      <t>分組</t>
    </r>
    <r>
      <rPr>
        <b/>
        <sz val="11"/>
        <rFont val="Calibri"/>
        <family val="2"/>
      </rPr>
      <t xml:space="preserve"> Group name</t>
    </r>
    <phoneticPr fontId="3" type="noConversion"/>
  </si>
  <si>
    <r>
      <t>Single(</t>
    </r>
    <r>
      <rPr>
        <b/>
        <sz val="11"/>
        <rFont val="微軟正黑體"/>
        <family val="2"/>
        <charset val="136"/>
      </rPr>
      <t>空白</t>
    </r>
    <r>
      <rPr>
        <b/>
        <sz val="11"/>
        <rFont val="Calibri"/>
        <family val="2"/>
      </rPr>
      <t>)</t>
    </r>
    <r>
      <rPr>
        <b/>
        <sz val="11"/>
        <rFont val="微軟正黑體"/>
        <family val="2"/>
        <charset val="136"/>
      </rPr>
      <t>，</t>
    </r>
    <r>
      <rPr>
        <b/>
        <sz val="11"/>
        <rFont val="Calibri"/>
        <family val="2"/>
      </rPr>
      <t>Multi(XX&lt;,XX-,XX&gt;)</t>
    </r>
    <phoneticPr fontId="3" type="noConversion"/>
  </si>
  <si>
    <r>
      <rPr>
        <b/>
        <sz val="11"/>
        <rFont val="微軟正黑體"/>
        <family val="2"/>
        <charset val="136"/>
      </rPr>
      <t>欄位長度</t>
    </r>
    <r>
      <rPr>
        <b/>
        <sz val="11"/>
        <rFont val="Calibri"/>
        <family val="2"/>
      </rPr>
      <t>+(</t>
    </r>
    <r>
      <rPr>
        <b/>
        <sz val="11"/>
        <rFont val="微軟正黑體"/>
        <family val="2"/>
        <charset val="136"/>
      </rPr>
      <t>靠左</t>
    </r>
    <r>
      <rPr>
        <b/>
        <sz val="11"/>
        <rFont val="Calibri"/>
        <family val="2"/>
      </rPr>
      <t>L,</t>
    </r>
    <r>
      <rPr>
        <b/>
        <sz val="11"/>
        <rFont val="微軟正黑體"/>
        <family val="2"/>
        <charset val="136"/>
      </rPr>
      <t>靠右</t>
    </r>
    <r>
      <rPr>
        <b/>
        <sz val="11"/>
        <rFont val="Calibri"/>
        <family val="2"/>
      </rPr>
      <t>R)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</si>
  <si>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中文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</si>
  <si>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欄位說明</t>
    </r>
    <r>
      <rPr>
        <b/>
        <sz val="11"/>
        <rFont val="Calibri"/>
        <family val="2"/>
      </rPr>
      <t>(</t>
    </r>
    <r>
      <rPr>
        <b/>
        <sz val="11"/>
        <rFont val="微軟正黑體"/>
        <family val="2"/>
        <charset val="136"/>
      </rPr>
      <t>英文</t>
    </r>
    <r>
      <rPr>
        <b/>
        <sz val="11"/>
        <rFont val="Calibri"/>
        <family val="2"/>
      </rPr>
      <t>)</t>
    </r>
    <phoneticPr fontId="3" type="noConversion"/>
  </si>
  <si>
    <r>
      <rPr>
        <b/>
        <sz val="11"/>
        <rFont val="微軟正黑體"/>
        <family val="2"/>
        <charset val="136"/>
      </rPr>
      <t>選單</t>
    </r>
    <phoneticPr fontId="3" type="noConversion"/>
  </si>
  <si>
    <t>LN.MAIN.AC.NO</t>
  </si>
  <si>
    <t>EnqLnMainAcNo</t>
  </si>
  <si>
    <t>14R</t>
    <phoneticPr fontId="3" type="noConversion"/>
  </si>
  <si>
    <r>
      <rPr>
        <sz val="11"/>
        <color theme="1"/>
        <rFont val="微軟正黑體"/>
        <family val="2"/>
        <charset val="136"/>
      </rPr>
      <t>放款帳號</t>
    </r>
    <phoneticPr fontId="3" type="noConversion"/>
  </si>
  <si>
    <t>Loan account no</t>
    <phoneticPr fontId="3" type="noConversion"/>
  </si>
  <si>
    <r>
      <rPr>
        <sz val="11"/>
        <color theme="1"/>
        <rFont val="微軟正黑體"/>
        <family val="2"/>
        <charset val="136"/>
      </rPr>
      <t>額度號碼</t>
    </r>
    <phoneticPr fontId="3" type="noConversion"/>
  </si>
  <si>
    <t>Limit line</t>
    <phoneticPr fontId="3" type="noConversion"/>
  </si>
  <si>
    <t>OD.ACCT.NO</t>
  </si>
  <si>
    <t>EnqOdAcctNo</t>
  </si>
  <si>
    <t>3L</t>
    <phoneticPr fontId="3" type="noConversion"/>
  </si>
  <si>
    <r>
      <rPr>
        <sz val="11"/>
        <color theme="1"/>
        <rFont val="微軟正黑體"/>
        <family val="2"/>
        <charset val="136"/>
      </rPr>
      <t>透支帳號</t>
    </r>
    <phoneticPr fontId="3" type="noConversion"/>
  </si>
  <si>
    <t>OD account no</t>
    <phoneticPr fontId="3" type="noConversion"/>
  </si>
  <si>
    <t>OD.SWAC</t>
  </si>
  <si>
    <t>EnqOdSwac</t>
  </si>
  <si>
    <t>6R</t>
    <phoneticPr fontId="3" type="noConversion"/>
  </si>
  <si>
    <r>
      <rPr>
        <sz val="11"/>
        <color theme="1"/>
        <rFont val="微軟正黑體"/>
        <family val="2"/>
        <charset val="136"/>
      </rPr>
      <t>透支計息帳號</t>
    </r>
    <phoneticPr fontId="3" type="noConversion"/>
  </si>
  <si>
    <t>OD sweep account</t>
    <phoneticPr fontId="3" type="noConversion"/>
  </si>
  <si>
    <t>LIMIT.AMOUNT</t>
  </si>
  <si>
    <t>EnqLimitAmount</t>
  </si>
  <si>
    <t>20L</t>
    <phoneticPr fontId="3" type="noConversion"/>
  </si>
  <si>
    <t>貸款額度</t>
    <phoneticPr fontId="3" type="noConversion"/>
  </si>
  <si>
    <t>LIMIT Amount</t>
    <phoneticPr fontId="3" type="noConversion"/>
  </si>
  <si>
    <t>MAX.TENOR.MM</t>
  </si>
  <si>
    <t>EnqMaxTenorMm</t>
  </si>
  <si>
    <t>11L</t>
    <phoneticPr fontId="3" type="noConversion"/>
  </si>
  <si>
    <r>
      <rPr>
        <sz val="11"/>
        <color theme="1"/>
        <rFont val="微軟正黑體"/>
        <family val="2"/>
        <charset val="136"/>
      </rPr>
      <t>貸款期數</t>
    </r>
    <phoneticPr fontId="3" type="noConversion"/>
  </si>
  <si>
    <t>LIMIT period</t>
    <phoneticPr fontId="3" type="noConversion"/>
  </si>
  <si>
    <t>ORIG.START.DT</t>
  </si>
  <si>
    <t>EnqOrigStartDt</t>
  </si>
  <si>
    <t>8R</t>
    <phoneticPr fontId="3" type="noConversion"/>
  </si>
  <si>
    <r>
      <rPr>
        <sz val="11"/>
        <color theme="1"/>
        <rFont val="微軟正黑體"/>
        <family val="2"/>
        <charset val="136"/>
      </rPr>
      <t>貸款日</t>
    </r>
    <phoneticPr fontId="3" type="noConversion"/>
  </si>
  <si>
    <t>LIMIT start date</t>
    <phoneticPr fontId="3" type="noConversion"/>
  </si>
  <si>
    <t>LOC.EXP.DT</t>
  </si>
  <si>
    <t>EnqLocExpDt</t>
  </si>
  <si>
    <r>
      <rPr>
        <sz val="11"/>
        <color theme="1"/>
        <rFont val="微軟正黑體"/>
        <family val="2"/>
        <charset val="136"/>
      </rPr>
      <t>到期日</t>
    </r>
    <phoneticPr fontId="3" type="noConversion"/>
  </si>
  <si>
    <t>LIMIT expiry date</t>
    <phoneticPr fontId="3" type="noConversion"/>
  </si>
  <si>
    <t>TOTAL.OS</t>
    <phoneticPr fontId="3" type="noConversion"/>
  </si>
  <si>
    <t>EnqTotalOs</t>
  </si>
  <si>
    <t>19R</t>
    <phoneticPr fontId="3" type="noConversion"/>
  </si>
  <si>
    <r>
      <rPr>
        <sz val="11"/>
        <color theme="1"/>
        <rFont val="微軟正黑體"/>
        <family val="2"/>
        <charset val="136"/>
      </rPr>
      <t>已動用金額</t>
    </r>
    <phoneticPr fontId="3" type="noConversion"/>
  </si>
  <si>
    <t>Total outstanding</t>
    <phoneticPr fontId="3" type="noConversion"/>
  </si>
  <si>
    <t>AVAIL.AMT</t>
  </si>
  <si>
    <t>EnqAvailAmt</t>
  </si>
  <si>
    <r>
      <rPr>
        <sz val="11"/>
        <color theme="1"/>
        <rFont val="微軟正黑體"/>
        <family val="2"/>
        <charset val="136"/>
      </rPr>
      <t>尚可動用金額</t>
    </r>
    <phoneticPr fontId="3" type="noConversion"/>
  </si>
  <si>
    <t>Available amount</t>
    <phoneticPr fontId="3" type="noConversion"/>
  </si>
  <si>
    <t>CORR.INT</t>
    <phoneticPr fontId="3" type="noConversion"/>
  </si>
  <si>
    <t>EnqCorrInt</t>
  </si>
  <si>
    <r>
      <rPr>
        <sz val="11"/>
        <color theme="1"/>
        <rFont val="微軟正黑體"/>
        <family val="2"/>
        <charset val="136"/>
      </rPr>
      <t>調整息</t>
    </r>
    <phoneticPr fontId="3" type="noConversion"/>
  </si>
  <si>
    <t>Adjusted interest</t>
    <phoneticPr fontId="3" type="noConversion"/>
  </si>
  <si>
    <t>FROZEN.FG</t>
  </si>
  <si>
    <t>EnqFrozenFg</t>
  </si>
  <si>
    <t>1L</t>
    <phoneticPr fontId="3" type="noConversion"/>
  </si>
  <si>
    <r>
      <rPr>
        <sz val="11"/>
        <color theme="1"/>
        <rFont val="微軟正黑體"/>
        <family val="2"/>
        <charset val="136"/>
      </rPr>
      <t>凍結記號</t>
    </r>
    <phoneticPr fontId="3" type="noConversion"/>
  </si>
  <si>
    <t>Limt frozen flag</t>
    <phoneticPr fontId="3" type="noConversion"/>
  </si>
  <si>
    <t>Y
N</t>
    <phoneticPr fontId="3" type="noConversion"/>
  </si>
  <si>
    <t>INFO.INT</t>
  </si>
  <si>
    <t>EnqInfoInt</t>
  </si>
  <si>
    <r>
      <rPr>
        <sz val="11"/>
        <color theme="1"/>
        <rFont val="微軟正黑體"/>
        <family val="2"/>
        <charset val="136"/>
      </rPr>
      <t>應繳利息</t>
    </r>
    <phoneticPr fontId="3" type="noConversion"/>
  </si>
  <si>
    <t>Interest</t>
    <phoneticPr fontId="3" type="noConversion"/>
  </si>
  <si>
    <t>INFO.DATE</t>
  </si>
  <si>
    <t>EnqInfoDate</t>
  </si>
  <si>
    <r>
      <rPr>
        <sz val="11"/>
        <color theme="1"/>
        <rFont val="微軟正黑體"/>
        <family val="2"/>
        <charset val="136"/>
      </rPr>
      <t>應繳日期</t>
    </r>
    <phoneticPr fontId="3" type="noConversion"/>
  </si>
  <si>
    <t>Bill repayment schedule date</t>
    <phoneticPr fontId="3" type="noConversion"/>
  </si>
  <si>
    <t>OVERDUE.INT</t>
  </si>
  <si>
    <t>EnqOverdueInt</t>
  </si>
  <si>
    <r>
      <rPr>
        <sz val="11"/>
        <color theme="1"/>
        <rFont val="微軟正黑體"/>
        <family val="2"/>
        <charset val="136"/>
      </rPr>
      <t>逾期利息</t>
    </r>
    <phoneticPr fontId="3" type="noConversion"/>
  </si>
  <si>
    <t>Late penalty interest</t>
    <phoneticPr fontId="3" type="noConversion"/>
  </si>
  <si>
    <t>OVERDUE.PE</t>
  </si>
  <si>
    <t>EnqOverduePe</t>
  </si>
  <si>
    <r>
      <rPr>
        <sz val="11"/>
        <color theme="1"/>
        <rFont val="微軟正黑體"/>
        <family val="2"/>
        <charset val="136"/>
      </rPr>
      <t>應繳違約金</t>
    </r>
    <phoneticPr fontId="3" type="noConversion"/>
  </si>
  <si>
    <t>Late penalty amount</t>
    <phoneticPr fontId="3" type="noConversion"/>
  </si>
  <si>
    <t>OVERDUE.DAYS</t>
    <phoneticPr fontId="3" type="noConversion"/>
  </si>
  <si>
    <t>EnqOverdueDays</t>
  </si>
  <si>
    <r>
      <rPr>
        <sz val="11"/>
        <color theme="1"/>
        <rFont val="微軟正黑體"/>
        <family val="2"/>
        <charset val="136"/>
      </rPr>
      <t>逾期天數</t>
    </r>
    <phoneticPr fontId="3" type="noConversion"/>
  </si>
  <si>
    <t>Overdue days</t>
    <phoneticPr fontId="3" type="noConversion"/>
  </si>
  <si>
    <t>LEGAL.FEES</t>
  </si>
  <si>
    <t>EnqLegalFees</t>
  </si>
  <si>
    <r>
      <rPr>
        <sz val="11"/>
        <color theme="1"/>
        <rFont val="微軟正黑體"/>
        <family val="2"/>
        <charset val="136"/>
      </rPr>
      <t>法務費用</t>
    </r>
    <phoneticPr fontId="3" type="noConversion"/>
  </si>
  <si>
    <t>Legal fees</t>
    <phoneticPr fontId="3" type="noConversion"/>
  </si>
  <si>
    <t>REPAY.ACCT</t>
  </si>
  <si>
    <t>EnqRepayAcct</t>
  </si>
  <si>
    <r>
      <rPr>
        <sz val="11"/>
        <color theme="1"/>
        <rFont val="微軟正黑體"/>
        <family val="2"/>
        <charset val="136"/>
      </rPr>
      <t>約定帳號</t>
    </r>
    <phoneticPr fontId="3" type="noConversion"/>
  </si>
  <si>
    <t>Repayment account</t>
    <phoneticPr fontId="3" type="noConversion"/>
  </si>
  <si>
    <t>REPAY.ACCT.BAL</t>
  </si>
  <si>
    <t>EnqRepayAcctBal</t>
  </si>
  <si>
    <r>
      <rPr>
        <sz val="11"/>
        <color theme="1"/>
        <rFont val="微軟正黑體"/>
        <family val="2"/>
        <charset val="136"/>
      </rPr>
      <t>約定帳號餘額</t>
    </r>
    <phoneticPr fontId="3" type="noConversion"/>
  </si>
  <si>
    <t>Repayment account balance</t>
    <phoneticPr fontId="3" type="noConversion"/>
  </si>
  <si>
    <t>CORR.INT.MSGFG</t>
  </si>
  <si>
    <t>EnqCorrIntMsgfg</t>
  </si>
  <si>
    <r>
      <rPr>
        <sz val="11"/>
        <color theme="1"/>
        <rFont val="微軟正黑體"/>
        <family val="2"/>
        <charset val="136"/>
      </rPr>
      <t>調整息提示記號</t>
    </r>
    <phoneticPr fontId="3" type="noConversion"/>
  </si>
  <si>
    <t>Adjusted interest flag</t>
    <phoneticPr fontId="3" type="noConversion"/>
  </si>
  <si>
    <t>INT.RATE</t>
  </si>
  <si>
    <t>EnqIntRate</t>
  </si>
  <si>
    <t>16R</t>
    <phoneticPr fontId="3" type="noConversion"/>
  </si>
  <si>
    <r>
      <rPr>
        <sz val="11"/>
        <color theme="1"/>
        <rFont val="微軟正黑體"/>
        <family val="2"/>
        <charset val="136"/>
      </rPr>
      <t>放款利率</t>
    </r>
    <phoneticPr fontId="3" type="noConversion"/>
  </si>
  <si>
    <t>Interest rate</t>
    <phoneticPr fontId="3" type="noConversion"/>
  </si>
  <si>
    <t>T.SPH.SEC.CODE</t>
    <phoneticPr fontId="3" type="noConversion"/>
  </si>
  <si>
    <t>EnqTSphSecCode</t>
  </si>
  <si>
    <t>35L</t>
    <phoneticPr fontId="3" type="noConversion"/>
  </si>
  <si>
    <r>
      <rPr>
        <sz val="11"/>
        <color theme="1"/>
        <rFont val="微軟正黑體"/>
        <family val="2"/>
        <charset val="136"/>
      </rPr>
      <t>永豐金證券分行代號</t>
    </r>
    <phoneticPr fontId="3" type="noConversion"/>
  </si>
  <si>
    <t>Sinopac securities branch code</t>
    <phoneticPr fontId="3" type="noConversion"/>
  </si>
  <si>
    <t>INT.BASE.KEY</t>
  </si>
  <si>
    <t>EnqIntBaseKey</t>
  </si>
  <si>
    <t>10L</t>
    <phoneticPr fontId="3" type="noConversion"/>
  </si>
  <si>
    <r>
      <rPr>
        <sz val="11"/>
        <color theme="1"/>
        <rFont val="微軟正黑體"/>
        <family val="2"/>
        <charset val="136"/>
      </rPr>
      <t>利率基礎</t>
    </r>
    <phoneticPr fontId="3" type="noConversion"/>
  </si>
  <si>
    <t>Interest key</t>
    <phoneticPr fontId="3" type="noConversion"/>
  </si>
  <si>
    <t>INT.SPREAD</t>
  </si>
  <si>
    <t>EnqIntSpread</t>
  </si>
  <si>
    <r>
      <rPr>
        <sz val="11"/>
        <color theme="1"/>
        <rFont val="微軟正黑體"/>
        <family val="2"/>
        <charset val="136"/>
      </rPr>
      <t>利率加減碼</t>
    </r>
    <phoneticPr fontId="3" type="noConversion"/>
  </si>
  <si>
    <t>Interest spread</t>
    <phoneticPr fontId="3" type="noConversion"/>
  </si>
  <si>
    <t>T.SALE.STATUS</t>
    <phoneticPr fontId="3" type="noConversion"/>
  </si>
  <si>
    <t>EnqTSaleStatus</t>
  </si>
  <si>
    <r>
      <rPr>
        <sz val="11"/>
        <color theme="1"/>
        <rFont val="微軟正黑體"/>
        <family val="2"/>
        <charset val="136"/>
      </rPr>
      <t>共同行銷</t>
    </r>
    <r>
      <rPr>
        <sz val="11"/>
        <color theme="1"/>
        <rFont val="Calibri"/>
        <family val="2"/>
      </rPr>
      <t>/</t>
    </r>
    <r>
      <rPr>
        <sz val="11"/>
        <color theme="1"/>
        <rFont val="微軟正黑體"/>
        <family val="2"/>
        <charset val="136"/>
      </rPr>
      <t>合作推廣記號永豐金證券</t>
    </r>
    <r>
      <rPr>
        <sz val="11"/>
        <color theme="1"/>
        <rFont val="Calibri"/>
        <family val="2"/>
      </rPr>
      <t xml:space="preserve"> </t>
    </r>
    <phoneticPr fontId="3" type="noConversion"/>
  </si>
  <si>
    <t>Cooperative marketing status</t>
    <phoneticPr fontId="3" type="noConversion"/>
  </si>
  <si>
    <r>
      <t>0-</t>
    </r>
    <r>
      <rPr>
        <sz val="11"/>
        <color theme="1"/>
        <rFont val="細明體"/>
        <family val="2"/>
        <charset val="136"/>
      </rPr>
      <t>同意</t>
    </r>
    <r>
      <rPr>
        <sz val="11"/>
        <color theme="1"/>
        <rFont val="Calibri"/>
        <family val="2"/>
      </rPr>
      <t xml:space="preserve">
1-</t>
    </r>
    <r>
      <rPr>
        <sz val="11"/>
        <color theme="1"/>
        <rFont val="細明體"/>
        <family val="2"/>
        <charset val="136"/>
      </rPr>
      <t>僅同意基本資料之應用</t>
    </r>
    <r>
      <rPr>
        <sz val="11"/>
        <color theme="1"/>
        <rFont val="Calibri"/>
        <family val="2"/>
      </rPr>
      <t xml:space="preserve">
2-</t>
    </r>
    <r>
      <rPr>
        <sz val="11"/>
        <color theme="1"/>
        <rFont val="細明體"/>
        <family val="2"/>
        <charset val="136"/>
      </rPr>
      <t>不同意共同行銷</t>
    </r>
    <r>
      <rPr>
        <sz val="11"/>
        <color theme="1"/>
        <rFont val="Calibri"/>
        <family val="2"/>
      </rPr>
      <t xml:space="preserve">
7-IBT</t>
    </r>
    <r>
      <rPr>
        <sz val="11"/>
        <color theme="1"/>
        <rFont val="細明體"/>
        <family val="2"/>
        <charset val="136"/>
      </rPr>
      <t>合併前未表示意見</t>
    </r>
    <r>
      <rPr>
        <sz val="11"/>
        <color theme="1"/>
        <rFont val="Calibri"/>
        <family val="2"/>
      </rPr>
      <t xml:space="preserve">
9-BSP</t>
    </r>
    <r>
      <rPr>
        <sz val="11"/>
        <color theme="1"/>
        <rFont val="細明體"/>
        <family val="2"/>
        <charset val="136"/>
      </rPr>
      <t>合併前未表示意見</t>
    </r>
    <phoneticPr fontId="3" type="noConversion"/>
  </si>
  <si>
    <t>BLOCK.AMT</t>
    <phoneticPr fontId="3" type="noConversion"/>
  </si>
  <si>
    <t>EnqBlockAmt</t>
  </si>
  <si>
    <r>
      <rPr>
        <sz val="11"/>
        <color theme="1"/>
        <rFont val="微軟正黑體"/>
        <family val="2"/>
        <charset val="136"/>
      </rPr>
      <t>止扣金額</t>
    </r>
    <phoneticPr fontId="3" type="noConversion"/>
  </si>
  <si>
    <t>Block Amount</t>
    <phoneticPr fontId="3" type="noConversion"/>
  </si>
  <si>
    <t>ALLOW.CLOSE</t>
  </si>
  <si>
    <t>EnqAllowClose</t>
  </si>
  <si>
    <r>
      <rPr>
        <sz val="11"/>
        <color theme="1"/>
        <rFont val="微軟正黑體"/>
        <family val="2"/>
        <charset val="136"/>
      </rPr>
      <t>允許結清記號</t>
    </r>
    <phoneticPr fontId="3" type="noConversion"/>
  </si>
  <si>
    <t>Allow closure flag</t>
    <phoneticPr fontId="3" type="noConversion"/>
  </si>
  <si>
    <t>OD.PAY.TYPE</t>
    <phoneticPr fontId="3" type="noConversion"/>
  </si>
  <si>
    <t>EnqOdPayType</t>
    <phoneticPr fontId="3" type="noConversion"/>
  </si>
  <si>
    <t>繳款方式</t>
    <phoneticPr fontId="3" type="noConversion"/>
  </si>
  <si>
    <t>Pay type</t>
    <phoneticPr fontId="3" type="noConversion"/>
  </si>
  <si>
    <r>
      <t xml:space="preserve">1 </t>
    </r>
    <r>
      <rPr>
        <sz val="10"/>
        <color theme="1"/>
        <rFont val="細明體"/>
        <family val="2"/>
        <charset val="136"/>
      </rPr>
      <t>約定本行帳戶</t>
    </r>
    <r>
      <rPr>
        <sz val="10"/>
        <color theme="1"/>
        <rFont val="Calibri"/>
        <family val="2"/>
      </rPr>
      <t>-</t>
    </r>
    <r>
      <rPr>
        <sz val="10"/>
        <color theme="1"/>
        <rFont val="細明體"/>
        <family val="2"/>
        <charset val="136"/>
      </rPr>
      <t xml:space="preserve">足額繳款 </t>
    </r>
    <r>
      <rPr>
        <sz val="10"/>
        <color theme="1"/>
        <rFont val="Calibri"/>
        <family val="2"/>
      </rPr>
      <t xml:space="preserve">Fully Repayment
2 </t>
    </r>
    <r>
      <rPr>
        <sz val="10"/>
        <color theme="1"/>
        <rFont val="細明體"/>
        <family val="2"/>
        <charset val="136"/>
      </rPr>
      <t xml:space="preserve">約定本行帳戶-部分繳款 </t>
    </r>
    <r>
      <rPr>
        <sz val="10"/>
        <color theme="1"/>
        <rFont val="Calibri"/>
        <family val="2"/>
      </rPr>
      <t xml:space="preserve">Partial Repayment
3 </t>
    </r>
    <r>
      <rPr>
        <sz val="10"/>
        <color theme="1"/>
        <rFont val="細明體"/>
        <family val="2"/>
        <charset val="136"/>
      </rPr>
      <t>快通號-部分繳款 558-Partial Repayment</t>
    </r>
    <phoneticPr fontId="3" type="noConversion"/>
  </si>
  <si>
    <t>DUMMY.DISBUR</t>
    <phoneticPr fontId="3" type="noConversion"/>
  </si>
  <si>
    <t>EnqDummyDisbur</t>
    <phoneticPr fontId="3" type="noConversion"/>
  </si>
  <si>
    <t>撥款方式</t>
    <phoneticPr fontId="3" type="noConversion"/>
  </si>
  <si>
    <t>Disburse Method</t>
    <phoneticPr fontId="3" type="noConversion"/>
  </si>
  <si>
    <r>
      <t>SPH-</t>
    </r>
    <r>
      <rPr>
        <sz val="11"/>
        <color theme="1"/>
        <rFont val="細明體"/>
        <family val="2"/>
        <charset val="136"/>
      </rPr>
      <t>撥款本行</t>
    </r>
    <r>
      <rPr>
        <sz val="11"/>
        <color theme="1"/>
        <rFont val="Calibri"/>
        <family val="2"/>
      </rPr>
      <t xml:space="preserve">
OTH-</t>
    </r>
    <r>
      <rPr>
        <sz val="11"/>
        <color theme="1"/>
        <rFont val="細明體"/>
        <family val="2"/>
        <charset val="136"/>
      </rPr>
      <t>撥款他行</t>
    </r>
    <phoneticPr fontId="3" type="noConversion"/>
  </si>
  <si>
    <t>BEN.BANK</t>
    <phoneticPr fontId="3" type="noConversion"/>
  </si>
  <si>
    <t>EnqBenBank</t>
    <phoneticPr fontId="3" type="noConversion"/>
  </si>
  <si>
    <t>約定他行撥款銀行</t>
    <phoneticPr fontId="3" type="noConversion"/>
  </si>
  <si>
    <t>Other Agreed disburse Bank</t>
    <phoneticPr fontId="3" type="noConversion"/>
  </si>
  <si>
    <t>BEN.ACCT.NO</t>
    <phoneticPr fontId="3" type="noConversion"/>
  </si>
  <si>
    <t>EnqBenAcctNo</t>
  </si>
  <si>
    <t>約定他行撥款帳號</t>
    <phoneticPr fontId="3" type="noConversion"/>
  </si>
  <si>
    <t>Other Agreed disburse Account</t>
    <phoneticPr fontId="3" type="noConversion"/>
  </si>
  <si>
    <t>T.MNEMONIC</t>
    <phoneticPr fontId="3" type="noConversion"/>
  </si>
  <si>
    <t>EnqTMnemonic</t>
  </si>
  <si>
    <t>統編</t>
    <phoneticPr fontId="3" type="noConversion"/>
  </si>
  <si>
    <t>Customer unified number</t>
    <phoneticPr fontId="3" type="noConversion"/>
  </si>
  <si>
    <t>NAME</t>
    <phoneticPr fontId="3" type="noConversion"/>
  </si>
  <si>
    <t>EnqName</t>
  </si>
  <si>
    <t>戶名</t>
    <phoneticPr fontId="3" type="noConversion"/>
  </si>
  <si>
    <t>Customer Name</t>
    <phoneticPr fontId="3" type="noConversion"/>
  </si>
  <si>
    <t>OVERDUE.BILL.AMT</t>
    <phoneticPr fontId="3" type="noConversion"/>
  </si>
  <si>
    <t>EnqOverdueBillAmt</t>
  </si>
  <si>
    <t>逾期應繳帳單原始金額</t>
    <phoneticPr fontId="3" type="noConversion"/>
  </si>
  <si>
    <t>Overdue Bill Amount</t>
    <phoneticPr fontId="3" type="noConversion"/>
  </si>
  <si>
    <t>NETBANK</t>
    <phoneticPr fontId="3" type="noConversion"/>
  </si>
  <si>
    <t>MOBILE</t>
    <phoneticPr fontId="3" type="noConversion"/>
  </si>
  <si>
    <t>METHOD</t>
    <phoneticPr fontId="3" type="noConversion"/>
  </si>
  <si>
    <t>Function</t>
    <phoneticPr fontId="3" type="noConversion"/>
  </si>
  <si>
    <t>Request json</t>
    <phoneticPr fontId="3" type="noConversion"/>
  </si>
  <si>
    <t>Response json</t>
  </si>
  <si>
    <t>GET</t>
    <phoneticPr fontId="3" type="noConversion"/>
  </si>
  <si>
    <t>EnqMnemonic:F1323623200
credentials: GCM113896/123456</t>
  </si>
  <si>
    <t>{
  "header": {
    "audit": {
      "T24_time": 1169,
      "parse_time": 0
    },
    "page_start": 1,
    "page_token": "8750852402.01,99",
    "total_size": 1,
    "page_size": 99,
    "status": "success"
  },
  "body": [
    {
      "EnqOverduePe": "0",
      "EnqCorrInt": "0",
      "EnqBlockAmt": "0",
      "EnqTSaleStatus": "9",
      "EnqTSphSecCode": "9A9S",
      "EnqName": "中文姓名1000178",
      "EnqTMnemonic": "F1323623200",
      "EnqOverdueDays": "0",
      "EnqIntBaseKey": "101",
      "EnqLocExpDt": "20260128",
      "EnqLimitLine": "1000178.0002200.01",
      "EnqCorrIntMsgfg": "N",
      "EnqOverdueBillAmt": "0",
      "EnqOdSwac": "00203400009581",
      "EnqLegalFees": "0",
      "EnqOdPayType": "1",
      "EnqIntSpread": "1",
      "EnqOdAcctNo": "00206200000012",
      "EnqInfoDate": "20231020",
      "EnqAvailAmt": "45000",
      "EnqAllowClose": "Y",
      "EnqMaxTenorMm": "48",
      "EnqLnMainAcNo": "00205500038678",
      "EnqLimitAmount": "50000",
      "EnqFrozenFg": "N",
      "EnqOverdueInt": "0",
      "EnqIntRate": "1.86",
      "EnqRepayAcct": "00200460138077",
      "EnqDummyDisbur": "SPH",
      "EnqOrigStartDt": "20220128",
      "EnqTotalOs": "5000",
      "EnqInfoInt": "7"
    }
  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</si>
</sst>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indexed="8"/>
      <name val="Arial"/>
      <family val="2"/>
    </font>
    <font>
      <sz val="9"/>
      <name val="新細明體"/>
      <family val="3"/>
      <charset val="136"/>
      <scheme val="minor"/>
    </font>
    <font>
      <sz val="10"/>
      <color indexed="8"/>
      <name val="Arial"/>
      <family val="2"/>
    </font>
    <font>
      <sz val="10"/>
      <color rgb="FF0000D4"/>
      <name val="Arial"/>
      <family val="2"/>
    </font>
    <font>
      <sz val="10"/>
      <color rgb="FF0000D4"/>
      <name val="微軟正黑體"/>
      <family val="2"/>
      <charset val="136"/>
    </font>
    <font>
      <sz val="10"/>
      <color indexed="12"/>
      <name val="Arial"/>
      <family val="2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0"/>
      <color rgb="FF0000D4"/>
      <name val="細明體"/>
      <family val="2"/>
      <charset val="136"/>
    </font>
    <font>
      <sz val="11"/>
      <color theme="1"/>
      <name val="細明體"/>
      <family val="2"/>
      <charset val="136"/>
    </font>
    <font>
      <sz val="10"/>
      <color theme="1"/>
      <name val="Calibri"/>
      <family val="2"/>
    </font>
    <font>
      <sz val="10"/>
      <color theme="1"/>
      <name val="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FCE4D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8" fillId="0" borderId="0"/>
    <xf numFmtId="0" fontId="9" fillId="0" borderId="0" applyNumberFormat="0" applyFill="0" applyBorder="0" applyAlignment="0" applyProtection="0"/>
    <xf numFmtId="0" fontId="8" fillId="0" borderId="0"/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14" fontId="5" fillId="0" borderId="5" xfId="0" quotePrefix="1" applyNumberFormat="1" applyFont="1" applyBorder="1" applyAlignment="1">
      <alignment horizontal="center" vertical="center" wrapText="1"/>
    </xf>
    <xf numFmtId="14" fontId="7" fillId="0" borderId="5" xfId="0" applyNumberFormat="1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vertical="center" wrapText="1"/>
    </xf>
    <xf numFmtId="0" fontId="11" fillId="6" borderId="6" xfId="1" applyFont="1" applyFill="1" applyBorder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10" fillId="0" borderId="0" xfId="0" applyFont="1" applyAlignment="1">
      <alignment vertical="top"/>
    </xf>
    <xf numFmtId="0" fontId="12" fillId="5" borderId="8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0" fillId="0" borderId="6" xfId="0" applyFont="1" applyBorder="1" applyAlignment="1">
      <alignment vertical="top"/>
    </xf>
    <xf numFmtId="0" fontId="10" fillId="0" borderId="10" xfId="0" applyFont="1" applyBorder="1" applyAlignment="1">
      <alignment vertical="top" wrapText="1"/>
    </xf>
    <xf numFmtId="0" fontId="13" fillId="0" borderId="6" xfId="5" applyFont="1" applyBorder="1" applyAlignment="1">
      <alignment horizontal="left" vertical="top" wrapText="1"/>
    </xf>
    <xf numFmtId="0" fontId="9" fillId="0" borderId="0" xfId="5"/>
    <xf numFmtId="0" fontId="17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 wrapText="1"/>
    </xf>
    <xf numFmtId="0" fontId="11" fillId="6" borderId="6" xfId="1" applyFont="1" applyFill="1" applyBorder="1" applyAlignment="1">
      <alignment horizontal="left" vertical="center" wrapText="1"/>
    </xf>
    <xf numFmtId="0" fontId="12" fillId="6" borderId="6" xfId="0" applyFont="1" applyFill="1" applyBorder="1" applyAlignment="1">
      <alignment vertical="center"/>
    </xf>
    <xf numFmtId="0" fontId="10" fillId="0" borderId="6" xfId="0" quotePrefix="1" applyFont="1" applyBorder="1" applyAlignment="1">
      <alignment vertical="center"/>
    </xf>
    <xf numFmtId="0" fontId="13" fillId="0" borderId="6" xfId="1" applyFont="1" applyBorder="1" applyAlignment="1">
      <alignment horizontal="left" vertical="center" wrapText="1"/>
    </xf>
    <xf numFmtId="0" fontId="10" fillId="0" borderId="0" xfId="0" quotePrefix="1" applyFont="1" applyAlignment="1">
      <alignment vertical="center"/>
    </xf>
    <xf numFmtId="0" fontId="13" fillId="0" borderId="0" xfId="1" applyFont="1" applyAlignment="1">
      <alignment horizontal="left" vertical="center" wrapText="1"/>
    </xf>
    <xf numFmtId="0" fontId="13" fillId="0" borderId="0" xfId="1" applyFont="1" applyAlignment="1">
      <alignment horizontal="left" vertical="center"/>
    </xf>
    <xf numFmtId="0" fontId="11" fillId="4" borderId="6" xfId="0" applyFont="1" applyFill="1" applyBorder="1" applyAlignment="1">
      <alignment horizontal="left" vertical="center"/>
    </xf>
    <xf numFmtId="0" fontId="11" fillId="4" borderId="6" xfId="4" applyFont="1" applyFill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2" xfId="0" applyBorder="1" applyAlignment="1"/>
    <xf numFmtId="0" fontId="0" fillId="0" borderId="3" xfId="0" applyBorder="1" applyAlignment="1"/>
  </cellXfs>
  <cellStyles count="6">
    <cellStyle name="Hyperlink" xfId="3" xr:uid="{00000000-0005-0000-0000-000000000000}"/>
    <cellStyle name="Normal 2" xfId="1" xr:uid="{00000000-0005-0000-0000-000002000000}"/>
    <cellStyle name="Normal 4" xfId="2" xr:uid="{00000000-0005-0000-0000-000003000000}"/>
    <cellStyle name="一般" xfId="0" builtinId="0"/>
    <cellStyle name="一般 2" xfId="4" xr:uid="{2E727786-9703-4FFF-81A1-81D14C944A52}"/>
    <cellStyle name="超連結" xfId="5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10.11.62.82:28080/IRIS/api/v1.0.0/party/EL0099" TargetMode="External"/><Relationship Id="rId1" Type="http://schemas.openxmlformats.org/officeDocument/2006/relationships/hyperlink" Target="http://10.11.62.82:28080/IRIS/api/v1.0.0/party/EL00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79"/>
  <dimension ref="A1:E17"/>
  <sheetViews>
    <sheetView workbookViewId="0" xr3:uid="{AEA406A1-0E4B-5B11-9CD5-51D6E497D94C}">
      <selection activeCell="A4" sqref="A4"/>
    </sheetView>
  </sheetViews>
  <sheetFormatPr defaultColWidth="9.140625" defaultRowHeight="15.75"/>
  <cols>
    <col min="1" max="2" width="13" style="1" customWidth="1"/>
    <col min="3" max="3" width="85.140625" style="1" customWidth="1"/>
    <col min="4" max="5" width="13" style="1" customWidth="1"/>
    <col min="6" max="16384" width="9.140625" style="1"/>
  </cols>
  <sheetData>
    <row r="1" spans="1:5" ht="38.25" customHeight="1">
      <c r="A1" s="41" t="s">
        <v>0</v>
      </c>
      <c r="B1" s="42"/>
      <c r="C1" s="42"/>
      <c r="D1" s="42"/>
      <c r="E1" s="42"/>
    </row>
    <row r="2" spans="1:5" ht="20.100000000000001" customHeight="1" thickBot="1">
      <c r="A2" s="40" t="s">
        <v>1</v>
      </c>
      <c r="B2" s="43"/>
      <c r="C2" s="43"/>
      <c r="D2" s="43"/>
      <c r="E2" s="44"/>
    </row>
    <row r="3" spans="1:5" ht="16.5" thickBo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ht="16.5" thickBot="1">
      <c r="A4" s="3" t="s">
        <v>7</v>
      </c>
      <c r="B4" s="6">
        <v>44812</v>
      </c>
      <c r="C4" s="5" t="s">
        <v>8</v>
      </c>
      <c r="D4" s="22" t="s">
        <v>9</v>
      </c>
      <c r="E4" s="4" t="s">
        <v>10</v>
      </c>
    </row>
    <row r="5" spans="1:5" ht="16.5" thickBot="1">
      <c r="A5" s="3"/>
      <c r="B5" s="6"/>
      <c r="C5" s="5"/>
      <c r="D5" s="3"/>
      <c r="E5" s="4"/>
    </row>
    <row r="6" spans="1:5" ht="16.5" thickBot="1">
      <c r="A6" s="3"/>
      <c r="B6" s="6"/>
      <c r="C6" s="5"/>
      <c r="D6" s="3"/>
      <c r="E6" s="4"/>
    </row>
    <row r="7" spans="1:5" ht="16.5" thickBot="1">
      <c r="A7" s="3"/>
      <c r="B7" s="6"/>
      <c r="C7" s="5"/>
      <c r="D7" s="3"/>
      <c r="E7" s="4"/>
    </row>
    <row r="8" spans="1:5" ht="16.5" thickBot="1">
      <c r="A8" s="4"/>
      <c r="B8" s="7"/>
      <c r="C8" s="8"/>
      <c r="D8" s="4"/>
      <c r="E8" s="4"/>
    </row>
    <row r="9" spans="1:5" ht="16.5" thickBot="1">
      <c r="A9" s="4"/>
      <c r="B9" s="7"/>
      <c r="C9" s="8"/>
      <c r="D9" s="4"/>
      <c r="E9" s="4"/>
    </row>
    <row r="10" spans="1:5" ht="16.5" thickBot="1">
      <c r="A10" s="4"/>
      <c r="B10" s="7"/>
      <c r="C10" s="8"/>
      <c r="D10" s="4"/>
      <c r="E10" s="4"/>
    </row>
    <row r="11" spans="1:5" ht="16.5" thickBot="1">
      <c r="A11" s="4" t="s">
        <v>10</v>
      </c>
      <c r="B11" s="4" t="s">
        <v>10</v>
      </c>
      <c r="C11" s="4" t="s">
        <v>10</v>
      </c>
      <c r="D11" s="4" t="s">
        <v>10</v>
      </c>
      <c r="E11" s="4" t="s">
        <v>10</v>
      </c>
    </row>
    <row r="12" spans="1:5" ht="16.5" thickBot="1">
      <c r="A12" s="4" t="s">
        <v>10</v>
      </c>
      <c r="B12" s="4" t="s">
        <v>10</v>
      </c>
      <c r="C12" s="4" t="s">
        <v>10</v>
      </c>
      <c r="D12" s="4" t="s">
        <v>10</v>
      </c>
      <c r="E12" s="4" t="s">
        <v>10</v>
      </c>
    </row>
    <row r="13" spans="1:5" ht="16.5" thickBot="1">
      <c r="A13" s="4" t="s">
        <v>10</v>
      </c>
      <c r="B13" s="4" t="s">
        <v>10</v>
      </c>
      <c r="C13" s="4" t="s">
        <v>10</v>
      </c>
      <c r="D13" s="4" t="s">
        <v>10</v>
      </c>
      <c r="E13" s="4" t="s">
        <v>10</v>
      </c>
    </row>
    <row r="14" spans="1:5" ht="16.5" thickBot="1">
      <c r="A14" s="4" t="s">
        <v>10</v>
      </c>
      <c r="B14" s="4" t="s">
        <v>10</v>
      </c>
      <c r="C14" s="4" t="s">
        <v>10</v>
      </c>
      <c r="D14" s="4" t="s">
        <v>10</v>
      </c>
      <c r="E14" s="4" t="s">
        <v>10</v>
      </c>
    </row>
    <row r="15" spans="1:5" ht="16.5" thickBot="1">
      <c r="A15" s="4" t="s">
        <v>10</v>
      </c>
      <c r="B15" s="4" t="s">
        <v>10</v>
      </c>
      <c r="C15" s="4" t="s">
        <v>10</v>
      </c>
      <c r="D15" s="4" t="s">
        <v>10</v>
      </c>
      <c r="E15" s="4" t="s">
        <v>10</v>
      </c>
    </row>
    <row r="16" spans="1:5" ht="16.5" thickBot="1">
      <c r="A16" s="4" t="s">
        <v>10</v>
      </c>
      <c r="B16" s="4" t="s">
        <v>10</v>
      </c>
      <c r="C16" s="4" t="s">
        <v>10</v>
      </c>
      <c r="D16" s="4" t="s">
        <v>10</v>
      </c>
      <c r="E16" s="4" t="s">
        <v>10</v>
      </c>
    </row>
    <row r="17" spans="1:5" ht="16.5" thickBot="1">
      <c r="A17" s="4" t="s">
        <v>10</v>
      </c>
      <c r="B17" s="4" t="s">
        <v>10</v>
      </c>
      <c r="C17" s="4" t="s">
        <v>10</v>
      </c>
      <c r="D17" s="4" t="s">
        <v>10</v>
      </c>
      <c r="E17" s="4" t="s">
        <v>10</v>
      </c>
    </row>
  </sheetData>
  <mergeCells count="2">
    <mergeCell ref="A2:E2"/>
    <mergeCell ref="A1:E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1"/>
  <sheetViews>
    <sheetView zoomScale="70" zoomScaleNormal="70" workbookViewId="0" xr3:uid="{958C4451-9541-5A59-BF78-D2F731DF1C81}">
      <selection activeCell="C15" sqref="C15"/>
    </sheetView>
  </sheetViews>
  <sheetFormatPr defaultColWidth="8.85546875" defaultRowHeight="15"/>
  <cols>
    <col min="1" max="1" width="4.28515625" style="23" bestFit="1" customWidth="1"/>
    <col min="2" max="2" width="34.42578125" style="23" customWidth="1"/>
    <col min="3" max="3" width="55.7109375" style="25" customWidth="1"/>
    <col min="4" max="4" width="18.28515625" style="25" bestFit="1" customWidth="1"/>
    <col min="5" max="5" width="33.7109375" style="25" bestFit="1" customWidth="1"/>
    <col min="6" max="6" width="25.140625" style="25" bestFit="1" customWidth="1"/>
    <col min="7" max="7" width="37.140625" style="25" bestFit="1" customWidth="1"/>
    <col min="8" max="8" width="30.42578125" style="25" bestFit="1" customWidth="1"/>
    <col min="9" max="9" width="27.42578125" style="25" customWidth="1"/>
    <col min="10" max="16384" width="8.85546875" style="25"/>
  </cols>
  <sheetData>
    <row r="1" spans="2:7">
      <c r="B1" s="9" t="s">
        <v>11</v>
      </c>
      <c r="C1" s="24" t="s">
        <v>12</v>
      </c>
    </row>
    <row r="2" spans="2:7">
      <c r="B2" s="9" t="s">
        <v>13</v>
      </c>
      <c r="C2" s="24" t="s">
        <v>14</v>
      </c>
    </row>
    <row r="3" spans="2:7">
      <c r="B3" s="9" t="s">
        <v>15</v>
      </c>
      <c r="C3" s="24" t="str">
        <f>+"/api/v1.0.0/party/"&amp;C1</f>
        <v>/api/v1.0.0/party/EL0008</v>
      </c>
    </row>
    <row r="4" spans="2:7" ht="105">
      <c r="B4" s="9" t="s">
        <v>16</v>
      </c>
      <c r="C4" s="26" t="s">
        <v>17</v>
      </c>
    </row>
    <row r="5" spans="2:7">
      <c r="B5" s="9" t="s">
        <v>18</v>
      </c>
      <c r="C5" s="24" t="s">
        <v>19</v>
      </c>
    </row>
    <row r="6" spans="2:7">
      <c r="B6" s="9" t="s">
        <v>20</v>
      </c>
      <c r="C6" s="24" t="s">
        <v>21</v>
      </c>
    </row>
    <row r="7" spans="2:7">
      <c r="B7" s="9" t="s">
        <v>22</v>
      </c>
      <c r="C7" s="24" t="s">
        <v>23</v>
      </c>
    </row>
    <row r="8" spans="2:7">
      <c r="B8" s="9" t="s">
        <v>24</v>
      </c>
      <c r="C8" s="24" t="str">
        <f>+"ENQ.API."&amp;$C$1&amp;".1.0.0"</f>
        <v>ENQ.API.EL0008.1.0.0</v>
      </c>
    </row>
    <row r="9" spans="2:7">
      <c r="B9" s="25"/>
    </row>
    <row r="10" spans="2:7">
      <c r="B10" s="25"/>
    </row>
    <row r="11" spans="2:7">
      <c r="B11" s="9" t="s">
        <v>25</v>
      </c>
      <c r="C11" s="27" t="s">
        <v>26</v>
      </c>
      <c r="D11" s="9" t="s">
        <v>27</v>
      </c>
      <c r="E11" s="28" t="s">
        <v>28</v>
      </c>
      <c r="F11" s="28" t="s">
        <v>29</v>
      </c>
    </row>
    <row r="12" spans="2:7">
      <c r="B12" s="29" t="s">
        <v>30</v>
      </c>
      <c r="C12" s="30" t="s">
        <v>31</v>
      </c>
      <c r="D12" s="24" t="s">
        <v>32</v>
      </c>
      <c r="E12" s="24"/>
      <c r="F12" s="24"/>
    </row>
    <row r="13" spans="2:7">
      <c r="B13" s="29" t="s">
        <v>33</v>
      </c>
      <c r="C13" s="30" t="s">
        <v>34</v>
      </c>
      <c r="D13" s="24" t="s">
        <v>32</v>
      </c>
      <c r="E13" s="24"/>
      <c r="F13" s="24"/>
      <c r="G13" s="25" t="s">
        <v>35</v>
      </c>
    </row>
    <row r="14" spans="2:7">
      <c r="B14" s="29" t="s">
        <v>36</v>
      </c>
      <c r="C14" s="30" t="s">
        <v>37</v>
      </c>
      <c r="D14" s="24" t="s">
        <v>32</v>
      </c>
      <c r="E14" s="24"/>
      <c r="F14" s="24"/>
      <c r="G14" s="25" t="s">
        <v>35</v>
      </c>
    </row>
    <row r="15" spans="2:7">
      <c r="B15" s="29" t="s">
        <v>38</v>
      </c>
      <c r="C15" s="30" t="s">
        <v>39</v>
      </c>
      <c r="D15" s="24" t="s">
        <v>32</v>
      </c>
      <c r="E15" s="24"/>
      <c r="F15" s="24"/>
      <c r="G15" s="25" t="s">
        <v>40</v>
      </c>
    </row>
    <row r="16" spans="2:7">
      <c r="B16" s="31"/>
      <c r="C16" s="32"/>
    </row>
    <row r="17" spans="1:9">
      <c r="A17" s="33"/>
      <c r="B17" s="32"/>
      <c r="C17" s="33"/>
      <c r="D17" s="32"/>
      <c r="E17" s="32"/>
      <c r="F17" s="32"/>
    </row>
    <row r="18" spans="1:9" s="23" customFormat="1">
      <c r="A18" s="34" t="s">
        <v>41</v>
      </c>
      <c r="B18" s="34" t="s">
        <v>42</v>
      </c>
      <c r="C18" s="34" t="s">
        <v>43</v>
      </c>
      <c r="D18" s="35" t="s">
        <v>44</v>
      </c>
      <c r="E18" s="34" t="s">
        <v>45</v>
      </c>
      <c r="F18" s="34" t="s">
        <v>46</v>
      </c>
      <c r="G18" s="34" t="s">
        <v>47</v>
      </c>
      <c r="H18" s="34" t="s">
        <v>47</v>
      </c>
      <c r="I18" s="34" t="s">
        <v>48</v>
      </c>
    </row>
    <row r="19" spans="1:9" s="23" customFormat="1">
      <c r="A19" s="34"/>
      <c r="B19" s="34" t="s">
        <v>49</v>
      </c>
      <c r="C19" s="34" t="s">
        <v>50</v>
      </c>
      <c r="D19" s="34" t="s">
        <v>51</v>
      </c>
      <c r="E19" s="34" t="s">
        <v>52</v>
      </c>
      <c r="F19" s="34" t="s">
        <v>53</v>
      </c>
      <c r="G19" s="34" t="s">
        <v>54</v>
      </c>
      <c r="H19" s="34" t="s">
        <v>55</v>
      </c>
      <c r="I19" s="34" t="s">
        <v>56</v>
      </c>
    </row>
    <row r="20" spans="1:9">
      <c r="A20" s="25">
        <v>1</v>
      </c>
      <c r="B20" s="25" t="s">
        <v>57</v>
      </c>
      <c r="C20" s="25" t="s">
        <v>58</v>
      </c>
      <c r="F20" s="25" t="s">
        <v>59</v>
      </c>
      <c r="G20" s="23" t="s">
        <v>60</v>
      </c>
      <c r="H20" s="23" t="s">
        <v>61</v>
      </c>
    </row>
    <row r="21" spans="1:9">
      <c r="A21" s="25">
        <v>2</v>
      </c>
      <c r="B21" s="25" t="s">
        <v>36</v>
      </c>
      <c r="C21" s="25" t="s">
        <v>37</v>
      </c>
      <c r="F21" s="25" t="s">
        <v>59</v>
      </c>
      <c r="G21" s="23" t="s">
        <v>62</v>
      </c>
      <c r="H21" s="23" t="s">
        <v>63</v>
      </c>
    </row>
    <row r="22" spans="1:9">
      <c r="A22" s="25">
        <v>3</v>
      </c>
      <c r="B22" s="25" t="s">
        <v>64</v>
      </c>
      <c r="C22" s="25" t="s">
        <v>65</v>
      </c>
      <c r="F22" s="25" t="s">
        <v>66</v>
      </c>
      <c r="G22" s="23" t="s">
        <v>67</v>
      </c>
      <c r="H22" s="23" t="s">
        <v>68</v>
      </c>
    </row>
    <row r="23" spans="1:9">
      <c r="A23" s="25">
        <v>4</v>
      </c>
      <c r="B23" s="25" t="s">
        <v>69</v>
      </c>
      <c r="C23" s="25" t="s">
        <v>70</v>
      </c>
      <c r="F23" s="25" t="s">
        <v>71</v>
      </c>
      <c r="G23" s="23" t="s">
        <v>72</v>
      </c>
      <c r="H23" s="23" t="s">
        <v>73</v>
      </c>
    </row>
    <row r="24" spans="1:9">
      <c r="A24" s="25">
        <v>5</v>
      </c>
      <c r="B24" s="25" t="s">
        <v>74</v>
      </c>
      <c r="C24" s="25" t="s">
        <v>75</v>
      </c>
      <c r="F24" s="25" t="s">
        <v>76</v>
      </c>
      <c r="G24" s="36" t="s">
        <v>77</v>
      </c>
      <c r="H24" s="23" t="s">
        <v>78</v>
      </c>
    </row>
    <row r="25" spans="1:9">
      <c r="A25" s="25">
        <v>6</v>
      </c>
      <c r="B25" s="25" t="s">
        <v>79</v>
      </c>
      <c r="C25" s="25" t="s">
        <v>80</v>
      </c>
      <c r="F25" s="25" t="s">
        <v>81</v>
      </c>
      <c r="G25" s="23" t="s">
        <v>82</v>
      </c>
      <c r="H25" s="23" t="s">
        <v>83</v>
      </c>
    </row>
    <row r="26" spans="1:9">
      <c r="A26" s="25">
        <v>7</v>
      </c>
      <c r="B26" s="25" t="s">
        <v>84</v>
      </c>
      <c r="C26" s="25" t="s">
        <v>85</v>
      </c>
      <c r="F26" s="25" t="s">
        <v>86</v>
      </c>
      <c r="G26" s="25" t="s">
        <v>87</v>
      </c>
      <c r="H26" s="25" t="s">
        <v>88</v>
      </c>
    </row>
    <row r="27" spans="1:9">
      <c r="A27" s="25">
        <v>8</v>
      </c>
      <c r="B27" s="23" t="s">
        <v>89</v>
      </c>
      <c r="C27" s="25" t="s">
        <v>90</v>
      </c>
      <c r="F27" s="25" t="s">
        <v>86</v>
      </c>
      <c r="G27" s="25" t="s">
        <v>91</v>
      </c>
      <c r="H27" s="25" t="s">
        <v>92</v>
      </c>
    </row>
    <row r="28" spans="1:9">
      <c r="A28" s="25">
        <v>9</v>
      </c>
      <c r="B28" s="23" t="s">
        <v>93</v>
      </c>
      <c r="C28" s="25" t="s">
        <v>94</v>
      </c>
      <c r="F28" s="25" t="s">
        <v>95</v>
      </c>
      <c r="G28" s="25" t="s">
        <v>96</v>
      </c>
      <c r="H28" s="25" t="s">
        <v>97</v>
      </c>
    </row>
    <row r="29" spans="1:9">
      <c r="A29" s="25">
        <v>10</v>
      </c>
      <c r="B29" s="23" t="s">
        <v>98</v>
      </c>
      <c r="C29" s="25" t="s">
        <v>99</v>
      </c>
      <c r="F29" s="25" t="s">
        <v>95</v>
      </c>
      <c r="G29" s="25" t="s">
        <v>100</v>
      </c>
      <c r="H29" s="25" t="s">
        <v>101</v>
      </c>
    </row>
    <row r="30" spans="1:9">
      <c r="A30" s="25">
        <v>11</v>
      </c>
      <c r="B30" s="23" t="s">
        <v>102</v>
      </c>
      <c r="C30" s="25" t="s">
        <v>103</v>
      </c>
      <c r="F30" s="25" t="s">
        <v>95</v>
      </c>
      <c r="G30" s="25" t="s">
        <v>104</v>
      </c>
      <c r="H30" s="25" t="s">
        <v>105</v>
      </c>
    </row>
    <row r="31" spans="1:9" ht="30">
      <c r="A31" s="25">
        <v>12</v>
      </c>
      <c r="B31" s="23" t="s">
        <v>106</v>
      </c>
      <c r="C31" s="25" t="s">
        <v>107</v>
      </c>
      <c r="F31" s="25" t="s">
        <v>108</v>
      </c>
      <c r="G31" s="25" t="s">
        <v>109</v>
      </c>
      <c r="H31" s="25" t="s">
        <v>110</v>
      </c>
      <c r="I31" s="37" t="s">
        <v>111</v>
      </c>
    </row>
    <row r="32" spans="1:9">
      <c r="A32" s="25">
        <v>13</v>
      </c>
      <c r="B32" s="23" t="s">
        <v>112</v>
      </c>
      <c r="C32" s="25" t="s">
        <v>113</v>
      </c>
      <c r="F32" s="25" t="s">
        <v>95</v>
      </c>
      <c r="G32" s="25" t="s">
        <v>114</v>
      </c>
      <c r="H32" s="25" t="s">
        <v>115</v>
      </c>
    </row>
    <row r="33" spans="1:9">
      <c r="A33" s="25">
        <v>14</v>
      </c>
      <c r="B33" s="23" t="s">
        <v>116</v>
      </c>
      <c r="C33" s="25" t="s">
        <v>117</v>
      </c>
      <c r="F33" s="25" t="s">
        <v>86</v>
      </c>
      <c r="G33" s="25" t="s">
        <v>118</v>
      </c>
      <c r="H33" s="25" t="s">
        <v>119</v>
      </c>
    </row>
    <row r="34" spans="1:9">
      <c r="A34" s="25">
        <v>15</v>
      </c>
      <c r="B34" s="23" t="s">
        <v>120</v>
      </c>
      <c r="C34" s="25" t="s">
        <v>121</v>
      </c>
      <c r="F34" s="25" t="s">
        <v>95</v>
      </c>
      <c r="G34" s="25" t="s">
        <v>122</v>
      </c>
      <c r="H34" s="25" t="s">
        <v>123</v>
      </c>
    </row>
    <row r="35" spans="1:9">
      <c r="A35" s="25">
        <v>16</v>
      </c>
      <c r="B35" s="23" t="s">
        <v>124</v>
      </c>
      <c r="C35" s="25" t="s">
        <v>125</v>
      </c>
      <c r="F35" s="25" t="s">
        <v>95</v>
      </c>
      <c r="G35" s="25" t="s">
        <v>126</v>
      </c>
      <c r="H35" s="25" t="s">
        <v>127</v>
      </c>
    </row>
    <row r="36" spans="1:9">
      <c r="A36" s="25">
        <v>17</v>
      </c>
      <c r="B36" s="23" t="s">
        <v>128</v>
      </c>
      <c r="C36" s="25" t="s">
        <v>129</v>
      </c>
      <c r="F36" s="25" t="s">
        <v>86</v>
      </c>
      <c r="G36" s="25" t="s">
        <v>130</v>
      </c>
      <c r="H36" s="25" t="s">
        <v>131</v>
      </c>
    </row>
    <row r="37" spans="1:9">
      <c r="A37" s="25">
        <v>18</v>
      </c>
      <c r="B37" s="23" t="s">
        <v>132</v>
      </c>
      <c r="C37" s="25" t="s">
        <v>133</v>
      </c>
      <c r="F37" s="25" t="s">
        <v>95</v>
      </c>
      <c r="G37" s="25" t="s">
        <v>134</v>
      </c>
      <c r="H37" s="25" t="s">
        <v>135</v>
      </c>
    </row>
    <row r="38" spans="1:9">
      <c r="A38" s="25">
        <v>19</v>
      </c>
      <c r="B38" s="23" t="s">
        <v>136</v>
      </c>
      <c r="C38" s="25" t="s">
        <v>137</v>
      </c>
      <c r="F38" s="25" t="s">
        <v>59</v>
      </c>
      <c r="G38" s="25" t="s">
        <v>138</v>
      </c>
      <c r="H38" s="25" t="s">
        <v>139</v>
      </c>
    </row>
    <row r="39" spans="1:9">
      <c r="A39" s="25">
        <v>20</v>
      </c>
      <c r="B39" s="23" t="s">
        <v>140</v>
      </c>
      <c r="C39" s="25" t="s">
        <v>141</v>
      </c>
      <c r="F39" s="25" t="s">
        <v>95</v>
      </c>
      <c r="G39" s="25" t="s">
        <v>142</v>
      </c>
      <c r="H39" s="25" t="s">
        <v>143</v>
      </c>
    </row>
    <row r="40" spans="1:9" ht="30">
      <c r="A40" s="25">
        <v>21</v>
      </c>
      <c r="B40" s="23" t="s">
        <v>144</v>
      </c>
      <c r="C40" s="25" t="s">
        <v>145</v>
      </c>
      <c r="F40" s="25" t="s">
        <v>108</v>
      </c>
      <c r="G40" s="25" t="s">
        <v>146</v>
      </c>
      <c r="H40" s="25" t="s">
        <v>147</v>
      </c>
      <c r="I40" s="37" t="s">
        <v>111</v>
      </c>
    </row>
    <row r="41" spans="1:9">
      <c r="A41" s="25">
        <v>22</v>
      </c>
      <c r="B41" s="23" t="s">
        <v>148</v>
      </c>
      <c r="C41" s="25" t="s">
        <v>149</v>
      </c>
      <c r="F41" s="25" t="s">
        <v>150</v>
      </c>
      <c r="G41" s="25" t="s">
        <v>151</v>
      </c>
      <c r="H41" s="25" t="s">
        <v>152</v>
      </c>
    </row>
    <row r="42" spans="1:9">
      <c r="A42" s="25">
        <v>23</v>
      </c>
      <c r="B42" s="23" t="s">
        <v>153</v>
      </c>
      <c r="C42" s="25" t="s">
        <v>154</v>
      </c>
      <c r="F42" s="25" t="s">
        <v>155</v>
      </c>
      <c r="G42" s="25" t="s">
        <v>156</v>
      </c>
      <c r="H42" s="25" t="s">
        <v>157</v>
      </c>
    </row>
    <row r="43" spans="1:9">
      <c r="A43" s="25">
        <v>24</v>
      </c>
      <c r="B43" s="23" t="s">
        <v>158</v>
      </c>
      <c r="C43" s="25" t="s">
        <v>159</v>
      </c>
      <c r="F43" s="25" t="s">
        <v>160</v>
      </c>
      <c r="G43" s="25" t="s">
        <v>161</v>
      </c>
      <c r="H43" s="25" t="s">
        <v>162</v>
      </c>
    </row>
    <row r="44" spans="1:9">
      <c r="A44" s="25">
        <v>25</v>
      </c>
      <c r="B44" s="23" t="s">
        <v>163</v>
      </c>
      <c r="C44" s="25" t="s">
        <v>164</v>
      </c>
      <c r="F44" s="25" t="s">
        <v>160</v>
      </c>
      <c r="G44" s="25" t="s">
        <v>165</v>
      </c>
      <c r="H44" s="25" t="s">
        <v>166</v>
      </c>
    </row>
    <row r="45" spans="1:9" ht="78.75">
      <c r="A45" s="25">
        <v>26</v>
      </c>
      <c r="B45" s="23" t="s">
        <v>167</v>
      </c>
      <c r="C45" s="25" t="s">
        <v>168</v>
      </c>
      <c r="F45" s="25" t="s">
        <v>155</v>
      </c>
      <c r="G45" s="25" t="s">
        <v>169</v>
      </c>
      <c r="H45" s="25" t="s">
        <v>170</v>
      </c>
      <c r="I45" s="37" t="s">
        <v>171</v>
      </c>
    </row>
    <row r="46" spans="1:9">
      <c r="A46" s="25">
        <v>27</v>
      </c>
      <c r="B46" s="23" t="s">
        <v>172</v>
      </c>
      <c r="C46" s="25" t="s">
        <v>173</v>
      </c>
      <c r="F46" s="25" t="s">
        <v>95</v>
      </c>
      <c r="G46" s="25" t="s">
        <v>174</v>
      </c>
      <c r="H46" s="25" t="s">
        <v>175</v>
      </c>
    </row>
    <row r="47" spans="1:9" ht="30">
      <c r="A47" s="25">
        <v>28</v>
      </c>
      <c r="B47" s="23" t="s">
        <v>176</v>
      </c>
      <c r="C47" s="25" t="s">
        <v>177</v>
      </c>
      <c r="F47" s="25" t="s">
        <v>108</v>
      </c>
      <c r="G47" s="25" t="s">
        <v>178</v>
      </c>
      <c r="H47" s="25" t="s">
        <v>179</v>
      </c>
      <c r="I47" s="37" t="s">
        <v>111</v>
      </c>
    </row>
    <row r="48" spans="1:9" ht="82.5">
      <c r="A48" s="25">
        <v>29</v>
      </c>
      <c r="B48" s="23" t="s">
        <v>180</v>
      </c>
      <c r="C48" s="25" t="s">
        <v>181</v>
      </c>
      <c r="F48" s="25" t="s">
        <v>108</v>
      </c>
      <c r="G48" s="38" t="s">
        <v>182</v>
      </c>
      <c r="H48" s="25" t="s">
        <v>183</v>
      </c>
      <c r="I48" s="39" t="s">
        <v>184</v>
      </c>
    </row>
    <row r="49" spans="1:9" ht="31.5">
      <c r="A49" s="25">
        <v>30</v>
      </c>
      <c r="B49" s="23" t="s">
        <v>185</v>
      </c>
      <c r="C49" s="25" t="s">
        <v>186</v>
      </c>
      <c r="F49" s="25" t="s">
        <v>66</v>
      </c>
      <c r="G49" s="38" t="s">
        <v>187</v>
      </c>
      <c r="H49" s="25" t="s">
        <v>188</v>
      </c>
      <c r="I49" s="37" t="s">
        <v>189</v>
      </c>
    </row>
    <row r="50" spans="1:9">
      <c r="A50" s="25">
        <v>31</v>
      </c>
      <c r="B50" s="23" t="s">
        <v>190</v>
      </c>
      <c r="C50" s="25" t="s">
        <v>191</v>
      </c>
      <c r="F50" s="25" t="s">
        <v>155</v>
      </c>
      <c r="G50" s="38" t="s">
        <v>192</v>
      </c>
      <c r="H50" s="25" t="s">
        <v>193</v>
      </c>
    </row>
    <row r="51" spans="1:9">
      <c r="A51" s="25">
        <v>32</v>
      </c>
      <c r="B51" s="23" t="s">
        <v>194</v>
      </c>
      <c r="C51" s="25" t="s">
        <v>195</v>
      </c>
      <c r="F51" s="25" t="s">
        <v>155</v>
      </c>
      <c r="G51" s="38" t="s">
        <v>196</v>
      </c>
      <c r="H51" s="25" t="s">
        <v>197</v>
      </c>
    </row>
    <row r="52" spans="1:9">
      <c r="A52" s="25">
        <v>33</v>
      </c>
      <c r="B52" s="23" t="s">
        <v>198</v>
      </c>
      <c r="C52" s="25" t="s">
        <v>199</v>
      </c>
      <c r="F52" s="25" t="s">
        <v>155</v>
      </c>
      <c r="G52" s="38" t="s">
        <v>200</v>
      </c>
      <c r="H52" s="25" t="s">
        <v>201</v>
      </c>
    </row>
    <row r="53" spans="1:9">
      <c r="A53" s="25">
        <v>34</v>
      </c>
      <c r="B53" s="23" t="s">
        <v>202</v>
      </c>
      <c r="C53" s="25" t="s">
        <v>203</v>
      </c>
      <c r="F53" s="25" t="s">
        <v>155</v>
      </c>
      <c r="G53" s="38" t="s">
        <v>204</v>
      </c>
      <c r="H53" s="25" t="s">
        <v>205</v>
      </c>
    </row>
    <row r="54" spans="1:9">
      <c r="A54" s="25">
        <v>35</v>
      </c>
      <c r="B54" s="23" t="s">
        <v>206</v>
      </c>
      <c r="C54" s="25" t="s">
        <v>207</v>
      </c>
      <c r="F54" s="25" t="s">
        <v>95</v>
      </c>
      <c r="G54" s="38" t="s">
        <v>208</v>
      </c>
      <c r="H54" s="25" t="s">
        <v>209</v>
      </c>
    </row>
    <row r="55" spans="1:9">
      <c r="A55" s="25"/>
    </row>
    <row r="56" spans="1:9">
      <c r="A56" s="25"/>
    </row>
    <row r="57" spans="1:9">
      <c r="A57" s="25"/>
    </row>
    <row r="58" spans="1:9">
      <c r="A58" s="25"/>
    </row>
    <row r="59" spans="1:9">
      <c r="A59" s="25"/>
    </row>
    <row r="60" spans="1:9">
      <c r="A60" s="25"/>
    </row>
    <row r="61" spans="1:9">
      <c r="A61" s="25"/>
    </row>
    <row r="62" spans="1:9">
      <c r="A62" s="25"/>
    </row>
    <row r="63" spans="1:9">
      <c r="A63" s="25"/>
    </row>
    <row r="64" spans="1:9">
      <c r="A64" s="25"/>
    </row>
    <row r="65" spans="1:1">
      <c r="A65" s="25"/>
    </row>
    <row r="66" spans="1:1">
      <c r="A66" s="25"/>
    </row>
    <row r="67" spans="1:1">
      <c r="A67" s="25"/>
    </row>
    <row r="68" spans="1:1">
      <c r="A68" s="25"/>
    </row>
    <row r="69" spans="1:1">
      <c r="A69" s="25"/>
    </row>
    <row r="70" spans="1:1">
      <c r="A70" s="25"/>
    </row>
    <row r="71" spans="1:1">
      <c r="A71" s="25"/>
    </row>
    <row r="72" spans="1:1">
      <c r="A72" s="25"/>
    </row>
    <row r="73" spans="1:1">
      <c r="A73" s="25"/>
    </row>
    <row r="74" spans="1:1">
      <c r="A74" s="25"/>
    </row>
    <row r="75" spans="1:1">
      <c r="A75" s="25"/>
    </row>
    <row r="76" spans="1:1">
      <c r="A76" s="25"/>
    </row>
    <row r="77" spans="1:1">
      <c r="A77" s="25"/>
    </row>
    <row r="78" spans="1:1">
      <c r="A78" s="25"/>
    </row>
    <row r="79" spans="1:1">
      <c r="A79" s="25"/>
    </row>
    <row r="80" spans="1:1">
      <c r="A80" s="25"/>
    </row>
    <row r="81" spans="1:1">
      <c r="A81" s="25"/>
    </row>
    <row r="82" spans="1:1">
      <c r="A82" s="25"/>
    </row>
    <row r="83" spans="1:1">
      <c r="A83" s="25"/>
    </row>
    <row r="84" spans="1:1">
      <c r="A84" s="25"/>
    </row>
    <row r="85" spans="1:1">
      <c r="A85" s="25"/>
    </row>
    <row r="86" spans="1:1">
      <c r="A86" s="25"/>
    </row>
    <row r="87" spans="1:1">
      <c r="A87" s="25"/>
    </row>
    <row r="88" spans="1:1">
      <c r="A88" s="25"/>
    </row>
    <row r="89" spans="1:1">
      <c r="A89" s="25"/>
    </row>
    <row r="90" spans="1:1">
      <c r="A90" s="25"/>
    </row>
    <row r="91" spans="1:1">
      <c r="A91" s="25"/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zoomScale="80" zoomScaleNormal="80" workbookViewId="0" xr3:uid="{842E5F09-E766-5B8D-85AF-A39847EA96FD}">
      <selection activeCell="E1" sqref="E1"/>
    </sheetView>
  </sheetViews>
  <sheetFormatPr defaultColWidth="8.85546875" defaultRowHeight="15.75"/>
  <cols>
    <col min="1" max="1" width="8" style="13" bestFit="1" customWidth="1"/>
    <col min="2" max="2" width="10.85546875" style="13" customWidth="1"/>
    <col min="3" max="3" width="10" style="13" bestFit="1" customWidth="1"/>
    <col min="4" max="4" width="39.5703125" style="13" bestFit="1" customWidth="1"/>
    <col min="5" max="5" width="67.7109375" style="13" customWidth="1"/>
    <col min="6" max="16384" width="8.85546875" style="13"/>
  </cols>
  <sheetData>
    <row r="1" spans="1:5">
      <c r="B1" s="12" t="s">
        <v>210</v>
      </c>
      <c r="C1" s="21" t="str">
        <f>+"http://10.11.62.82:28080/IRIS/api/v1.0.0/party/"&amp;Spec!$C$1</f>
        <v>http://10.11.62.82:28080/IRIS/api/v1.0.0/party/EL0008</v>
      </c>
      <c r="D1" s="12"/>
      <c r="E1" s="11"/>
    </row>
    <row r="2" spans="1:5">
      <c r="A2" s="11"/>
      <c r="B2" s="11" t="s">
        <v>211</v>
      </c>
      <c r="C2" s="21" t="str">
        <f>+"http://10.11.62.82:58080/IRIS/api/v1.0.0/party/"&amp;Spec!$C$1</f>
        <v>http://10.11.62.82:58080/IRIS/api/v1.0.0/party/EL0008</v>
      </c>
      <c r="D2" s="10"/>
      <c r="E2" s="11"/>
    </row>
    <row r="3" spans="1:5">
      <c r="A3" s="14"/>
      <c r="B3" s="15" t="s">
        <v>212</v>
      </c>
      <c r="C3" s="16" t="s">
        <v>213</v>
      </c>
      <c r="D3" s="16" t="s">
        <v>214</v>
      </c>
      <c r="E3" s="17" t="s">
        <v>215</v>
      </c>
    </row>
    <row r="4" spans="1:5" ht="409.6">
      <c r="A4" s="14"/>
      <c r="B4" s="18" t="s">
        <v>216</v>
      </c>
      <c r="C4" s="18"/>
      <c r="D4" s="20" t="s">
        <v>217</v>
      </c>
      <c r="E4" s="19" t="s">
        <v>218</v>
      </c>
    </row>
    <row r="5" spans="1:5">
      <c r="B5" s="18"/>
      <c r="C5" s="18"/>
      <c r="D5" s="20"/>
      <c r="E5" s="19"/>
    </row>
  </sheetData>
  <phoneticPr fontId="3" type="noConversion"/>
  <hyperlinks>
    <hyperlink ref="C1" r:id="rId1" display="http://10.11.62.82:28080/IRIS/api/v1.0.0/party/EL0099" xr:uid="{47D04BCD-E4F9-437C-87DD-CC3EE236A36E}"/>
    <hyperlink ref="C2" r:id="rId2" display="http://10.11.62.82:28080/IRIS/api/v1.0.0/party/EL0099" xr:uid="{6A15342C-F2C0-4679-BA59-7D3F7E42FEEC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0118BAFAB681514DAD849DBF3C6E983F" ma:contentTypeVersion="11" ma:contentTypeDescription="建立新的文件。" ma:contentTypeScope="" ma:versionID="efeb681b8ec1ff9463c733921f72660d">
  <xsd:schema xmlns:xsd="http://www.w3.org/2001/XMLSchema" xmlns:xs="http://www.w3.org/2001/XMLSchema" xmlns:p="http://schemas.microsoft.com/office/2006/metadata/properties" xmlns:ns2="ff752050-5175-47cc-b4ee-fd51de24afd4" xmlns:ns3="c5c0ed9e-22b9-47aa-a49a-bd8ea34ac653" targetNamespace="http://schemas.microsoft.com/office/2006/metadata/properties" ma:root="true" ma:fieldsID="f33284c16dbe9d977c1034ee1ab2200a" ns2:_="" ns3:_="">
    <xsd:import namespace="ff752050-5175-47cc-b4ee-fd51de24afd4"/>
    <xsd:import namespace="c5c0ed9e-22b9-47aa-a49a-bd8ea34ac6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52050-5175-47cc-b4ee-fd51de24af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影像標籤" ma:readOnly="false" ma:fieldId="{5cf76f15-5ced-4ddc-b409-7134ff3c332f}" ma:taxonomyMulti="true" ma:sspId="b6f1147d-4a84-4851-ac23-a90e0e54e3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ed9e-22b9-47aa-a49a-bd8ea34ac65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e43c024-ba60-41c8-ba00-b7f1b1a041b6}" ma:internalName="TaxCatchAll" ma:showField="CatchAllData" ma:web="c5c0ed9e-22b9-47aa-a49a-bd8ea34ac6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c0ed9e-22b9-47aa-a49a-bd8ea34ac653" xsi:nil="true"/>
    <lcf76f155ced4ddcb4097134ff3c332f xmlns="ff752050-5175-47cc-b4ee-fd51de24af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5334F2-BD2D-432B-9C99-C34C46175CD0}"/>
</file>

<file path=customXml/itemProps2.xml><?xml version="1.0" encoding="utf-8"?>
<ds:datastoreItem xmlns:ds="http://schemas.openxmlformats.org/officeDocument/2006/customXml" ds:itemID="{CECA7C6D-6B23-491C-A3EA-0874451FA949}"/>
</file>

<file path=customXml/itemProps3.xml><?xml version="1.0" encoding="utf-8"?>
<ds:datastoreItem xmlns:ds="http://schemas.openxmlformats.org/officeDocument/2006/customXml" ds:itemID="{DD50923C-95A5-44F6-BCC1-6F9FBFEF8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闕 大順</dc:creator>
  <cp:keywords/>
  <dc:description/>
  <cp:lastModifiedBy>黃泓儒-數位應用部-永豐銀行</cp:lastModifiedBy>
  <cp:revision/>
  <dcterms:created xsi:type="dcterms:W3CDTF">2020-03-13T10:54:50Z</dcterms:created>
  <dcterms:modified xsi:type="dcterms:W3CDTF">2024-04-01T09:30:37Z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0x0101000118BAFAB681514DAD849DBF3C6E983F</vt:lpwstr>
  </property>
  <property fmtid="{D5CDD505-2E9C-101B-9397-08002B2CF9AE}" pid="3" name="MSIP_Label_0ff8a79a-c594-4296-99aa-1bf5c708f852_Enabled">
    <vt:lpwstr>true</vt:lpwstr>
  </property>
  <property fmtid="{D5CDD505-2E9C-101B-9397-08002B2CF9AE}" pid="4" name="MSIP_Label_0ff8a79a-c594-4296-99aa-1bf5c708f852_SetDate">
    <vt:lpwstr>2020-03-24T07:46:59Z</vt:lpwstr>
  </property>
  <property fmtid="{D5CDD505-2E9C-101B-9397-08002B2CF9AE}" pid="5" name="MSIP_Label_0ff8a79a-c594-4296-99aa-1bf5c708f852_Method">
    <vt:lpwstr>Standard</vt:lpwstr>
  </property>
  <property fmtid="{D5CDD505-2E9C-101B-9397-08002B2CF9AE}" pid="6" name="MSIP_Label_0ff8a79a-c594-4296-99aa-1bf5c708f852_Name">
    <vt:lpwstr>一般文件</vt:lpwstr>
  </property>
  <property fmtid="{D5CDD505-2E9C-101B-9397-08002B2CF9AE}" pid="7" name="MSIP_Label_0ff8a79a-c594-4296-99aa-1bf5c708f852_SiteId">
    <vt:lpwstr>d7b095ec-9bad-40df-bd7c-50cfe45c10a4</vt:lpwstr>
  </property>
  <property fmtid="{D5CDD505-2E9C-101B-9397-08002B2CF9AE}" pid="8" name="MSIP_Label_0ff8a79a-c594-4296-99aa-1bf5c708f852_ActionId">
    <vt:lpwstr>7649e0cd-df48-4e3a-ad4d-cbdde04f39df</vt:lpwstr>
  </property>
  <property fmtid="{D5CDD505-2E9C-101B-9397-08002B2CF9AE}" pid="9" name="MSIP_Label_0ff8a79a-c594-4296-99aa-1bf5c708f852_ContentBits">
    <vt:lpwstr>0</vt:lpwstr>
  </property>
</Properties>
</file>