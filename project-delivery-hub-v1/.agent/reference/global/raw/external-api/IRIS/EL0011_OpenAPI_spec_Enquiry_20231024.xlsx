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27EE2103-62A3-4369-B076-B89324F2D9F3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ocument History" sheetId="1" r:id="rId1"/>
    <sheet name="Spec" sheetId="2" r:id="rId2"/>
    <sheet name="JSON Request-Response" sheetId="3" r:id="rId3"/>
    <sheet name="欄位選單" sheetId="4" r:id="rId4"/>
  </sheets>
  <definedNames>
    <definedName name="_xlnm._FilterDatabase" localSheetId="1" hidden="1">Spec!$A$19:$I$41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8" i="2" l="1"/>
  <c r="C2" i="3" l="1"/>
  <c r="C1" i="3"/>
</calcChain>
</file>

<file path=xl/sharedStrings.xml><?xml version="1.0" encoding="utf-8"?>
<sst xmlns="http://schemas.openxmlformats.org/spreadsheetml/2006/main" count="1458" uniqueCount="585">
  <si>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</si>
  <si>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</si>
  <si>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</si>
  <si>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</si>
  <si>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</si>
  <si>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</si>
  <si>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</si>
  <si>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</si>
  <si>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</si>
  <si>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</si>
  <si>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</si>
  <si>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</si>
  <si>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</si>
  <si>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</si>
  <si>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</si>
  <si>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</si>
  <si>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</si>
  <si>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</si>
  <si>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</si>
  <si>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</si>
  <si>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</si>
  <si>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</si>
  <si>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</si>
  <si>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</si>
  <si>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</si>
  <si>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</si>
  <si>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</si>
  <si>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</si>
  <si>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</si>
  <si>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</si>
  <si>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</si>
  <si>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NETBANK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</si>
  <si>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</si>
  <si>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</si>
  <si>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</si>
  <si>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</si>
  <si>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</si>
  <si>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</si>
  <si>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</si>
  <si>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</si>
  <si>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</si>
  <si>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</si>
  <si>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</si>
  <si>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</si>
  <si>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</si>
  <si>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</si>
  <si>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19R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</si>
  <si>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</si>
  <si>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T.LN.PROD.TYPE</t>
  </si>
  <si>
    <t>T.LN.GL.TERM</t>
  </si>
  <si>
    <t>T.LOAN.PUR</t>
  </si>
  <si>
    <t>T.FUND.PUR</t>
  </si>
  <si>
    <t>T.PROJECT.ID</t>
  </si>
  <si>
    <t>EnqTLnProdType</t>
  </si>
  <si>
    <t>EnqTLnGlTerm</t>
  </si>
  <si>
    <t>EnqTLoanPur</t>
  </si>
  <si>
    <t>EnqTFundPur</t>
  </si>
  <si>
    <t>EnqTProjectId</t>
  </si>
  <si>
    <t xml:space="preserve"> </t>
    <phoneticPr fontId="3" type="noConversion"/>
  </si>
  <si>
    <t xml:space="preserve">  </t>
    <phoneticPr fontId="3" type="noConversion"/>
  </si>
  <si>
    <t>額度號碼</t>
  </si>
  <si>
    <t>林怡伶</t>
    <phoneticPr fontId="3" type="noConversion"/>
  </si>
  <si>
    <t>14L</t>
    <phoneticPr fontId="3" type="noConversion"/>
  </si>
  <si>
    <t>20L</t>
    <phoneticPr fontId="3" type="noConversion"/>
  </si>
  <si>
    <t>8L</t>
    <phoneticPr fontId="3" type="noConversion"/>
  </si>
  <si>
    <t>2L</t>
    <phoneticPr fontId="3" type="noConversion"/>
  </si>
  <si>
    <t>1L</t>
    <phoneticPr fontId="3" type="noConversion"/>
  </si>
  <si>
    <t>35L</t>
    <phoneticPr fontId="3" type="noConversion"/>
  </si>
  <si>
    <t>65L</t>
    <phoneticPr fontId="3" type="noConversion"/>
  </si>
  <si>
    <t>19L</t>
    <phoneticPr fontId="3" type="noConversion"/>
  </si>
  <si>
    <t>Drawndown List</t>
    <phoneticPr fontId="3" type="noConversion"/>
  </si>
  <si>
    <t>選單</t>
    <phoneticPr fontId="3" type="noConversion"/>
  </si>
  <si>
    <r>
      <t>01=</t>
    </r>
    <r>
      <rPr>
        <sz val="12"/>
        <color theme="1"/>
        <rFont val="微軟正黑體"/>
        <family val="2"/>
        <charset val="136"/>
      </rPr>
      <t>出口前融資</t>
    </r>
  </si>
  <si>
    <r>
      <t>02=</t>
    </r>
    <r>
      <rPr>
        <sz val="12"/>
        <color theme="1"/>
        <rFont val="微軟正黑體"/>
        <family val="2"/>
        <charset val="136"/>
      </rPr>
      <t>購料放款</t>
    </r>
  </si>
  <si>
    <r>
      <t>03=</t>
    </r>
    <r>
      <rPr>
        <sz val="12"/>
        <color theme="1"/>
        <rFont val="微軟正黑體"/>
        <family val="2"/>
        <charset val="136"/>
      </rPr>
      <t>外銷放款</t>
    </r>
  </si>
  <si>
    <r>
      <t>04=</t>
    </r>
    <r>
      <rPr>
        <sz val="12"/>
        <color theme="1"/>
        <rFont val="微軟正黑體"/>
        <family val="2"/>
        <charset val="136"/>
      </rPr>
      <t>進口信用狀</t>
    </r>
  </si>
  <si>
    <r>
      <t>05=</t>
    </r>
    <r>
      <rPr>
        <sz val="12"/>
        <color theme="1"/>
        <rFont val="微軟正黑體"/>
        <family val="2"/>
        <charset val="136"/>
      </rPr>
      <t>有價證券放款</t>
    </r>
  </si>
  <si>
    <r>
      <t>06=</t>
    </r>
    <r>
      <rPr>
        <sz val="12"/>
        <color theme="1"/>
        <rFont val="微軟正黑體"/>
        <family val="2"/>
        <charset val="136"/>
      </rPr>
      <t>進口託收</t>
    </r>
  </si>
  <si>
    <r>
      <t>08=</t>
    </r>
    <r>
      <rPr>
        <sz val="12"/>
        <color theme="1"/>
        <rFont val="微軟正黑體"/>
        <family val="2"/>
        <charset val="136"/>
      </rPr>
      <t>出口託收墊款</t>
    </r>
  </si>
  <si>
    <r>
      <t>09=</t>
    </r>
    <r>
      <rPr>
        <sz val="12"/>
        <color theme="1"/>
        <rFont val="微軟正黑體"/>
        <family val="2"/>
        <charset val="136"/>
      </rPr>
      <t>國內信用狀墊款</t>
    </r>
  </si>
  <si>
    <r>
      <t>10=</t>
    </r>
    <r>
      <rPr>
        <sz val="12"/>
        <color theme="1"/>
        <rFont val="微軟正黑體"/>
        <family val="2"/>
        <charset val="136"/>
      </rPr>
      <t>機器設備融資</t>
    </r>
  </si>
  <si>
    <r>
      <t>11=</t>
    </r>
    <r>
      <rPr>
        <sz val="12"/>
        <color theme="1"/>
        <rFont val="微軟正黑體"/>
        <family val="2"/>
        <charset val="136"/>
      </rPr>
      <t>建築融資</t>
    </r>
  </si>
  <si>
    <r>
      <t>12=</t>
    </r>
    <r>
      <rPr>
        <sz val="12"/>
        <color theme="1"/>
        <rFont val="微軟正黑體"/>
        <family val="2"/>
        <charset val="136"/>
      </rPr>
      <t>不動產放款</t>
    </r>
  </si>
  <si>
    <r>
      <t>14=</t>
    </r>
    <r>
      <rPr>
        <sz val="12"/>
        <color theme="1"/>
        <rFont val="微軟正黑體"/>
        <family val="2"/>
        <charset val="136"/>
      </rPr>
      <t>進口跨行貸款</t>
    </r>
  </si>
  <si>
    <r>
      <t>15=</t>
    </r>
    <r>
      <rPr>
        <sz val="12"/>
        <color theme="1"/>
        <rFont val="微軟正黑體"/>
        <family val="2"/>
        <charset val="136"/>
      </rPr>
      <t>勞務支出－外匯</t>
    </r>
  </si>
  <si>
    <r>
      <t>16=</t>
    </r>
    <r>
      <rPr>
        <sz val="12"/>
        <color theme="1"/>
        <rFont val="微軟正黑體"/>
        <family val="2"/>
        <charset val="136"/>
      </rPr>
      <t>勞務收入－外匯</t>
    </r>
  </si>
  <si>
    <r>
      <t>17=</t>
    </r>
    <r>
      <rPr>
        <sz val="12"/>
        <color theme="1"/>
        <rFont val="微軟正黑體"/>
        <family val="2"/>
        <charset val="136"/>
      </rPr>
      <t>進口記帳融資</t>
    </r>
  </si>
  <si>
    <r>
      <t>19=</t>
    </r>
    <r>
      <rPr>
        <sz val="12"/>
        <color theme="1"/>
        <rFont val="微軟正黑體"/>
        <family val="2"/>
        <charset val="136"/>
      </rPr>
      <t>非跟單出口</t>
    </r>
  </si>
  <si>
    <r>
      <t>20=</t>
    </r>
    <r>
      <rPr>
        <sz val="12"/>
        <color theme="1"/>
        <rFont val="微軟正黑體"/>
        <family val="2"/>
        <charset val="136"/>
      </rPr>
      <t>回復型車貸</t>
    </r>
  </si>
  <si>
    <r>
      <t>22=</t>
    </r>
    <r>
      <rPr>
        <sz val="12"/>
        <color theme="1"/>
        <rFont val="微軟正黑體"/>
        <family val="2"/>
        <charset val="136"/>
      </rPr>
      <t>回復型信貸</t>
    </r>
  </si>
  <si>
    <r>
      <t>29=</t>
    </r>
    <r>
      <rPr>
        <sz val="12"/>
        <color theme="1"/>
        <rFont val="微軟正黑體"/>
        <family val="2"/>
        <charset val="136"/>
      </rPr>
      <t>應收票據融資</t>
    </r>
  </si>
  <si>
    <r>
      <t>30=</t>
    </r>
    <r>
      <rPr>
        <sz val="12"/>
        <color theme="1"/>
        <rFont val="微軟正黑體"/>
        <family val="2"/>
        <charset val="136"/>
      </rPr>
      <t>客票融資</t>
    </r>
  </si>
  <si>
    <r>
      <t>31=</t>
    </r>
    <r>
      <rPr>
        <sz val="12"/>
        <color theme="1"/>
        <rFont val="微軟正黑體"/>
        <family val="2"/>
        <charset val="136"/>
      </rPr>
      <t>土地融資</t>
    </r>
  </si>
  <si>
    <r>
      <t>32=</t>
    </r>
    <r>
      <rPr>
        <sz val="12"/>
        <color theme="1"/>
        <rFont val="微軟正黑體"/>
        <family val="2"/>
        <charset val="136"/>
      </rPr>
      <t>風險參與</t>
    </r>
  </si>
  <si>
    <r>
      <t>35=</t>
    </r>
    <r>
      <rPr>
        <sz val="12"/>
        <color theme="1"/>
        <rFont val="微軟正黑體"/>
        <family val="2"/>
        <charset val="136"/>
      </rPr>
      <t>綜合性房貸</t>
    </r>
  </si>
  <si>
    <r>
      <t>36=</t>
    </r>
    <r>
      <rPr>
        <sz val="12"/>
        <color theme="1"/>
        <rFont val="微軟正黑體"/>
        <family val="2"/>
        <charset val="136"/>
      </rPr>
      <t>一般房貸</t>
    </r>
  </si>
  <si>
    <r>
      <t>38=</t>
    </r>
    <r>
      <rPr>
        <sz val="12"/>
        <color theme="1"/>
        <rFont val="微軟正黑體"/>
        <family val="2"/>
        <charset val="136"/>
      </rPr>
      <t>個人其他有價証券</t>
    </r>
  </si>
  <si>
    <r>
      <t>39=</t>
    </r>
    <r>
      <rPr>
        <sz val="12"/>
        <color theme="1"/>
        <rFont val="微軟正黑體"/>
        <family val="2"/>
        <charset val="136"/>
      </rPr>
      <t>存單貸款</t>
    </r>
  </si>
  <si>
    <r>
      <t>40=</t>
    </r>
    <r>
      <rPr>
        <sz val="12"/>
        <color theme="1"/>
        <rFont val="微軟正黑體"/>
        <family val="2"/>
        <charset val="136"/>
      </rPr>
      <t>汽車貸款</t>
    </r>
  </si>
  <si>
    <r>
      <t>42=</t>
    </r>
    <r>
      <rPr>
        <sz val="12"/>
        <color theme="1"/>
        <rFont val="微軟正黑體"/>
        <family val="2"/>
        <charset val="136"/>
      </rPr>
      <t>信用貸款</t>
    </r>
  </si>
  <si>
    <r>
      <t>43=</t>
    </r>
    <r>
      <rPr>
        <sz val="12"/>
        <color theme="1"/>
        <rFont val="微軟正黑體"/>
        <family val="2"/>
        <charset val="136"/>
      </rPr>
      <t>動產貸款</t>
    </r>
  </si>
  <si>
    <r>
      <t>44=</t>
    </r>
    <r>
      <rPr>
        <sz val="12"/>
        <color theme="1"/>
        <rFont val="微軟正黑體"/>
        <family val="2"/>
        <charset val="136"/>
      </rPr>
      <t>短擔循環</t>
    </r>
  </si>
  <si>
    <r>
      <t>45=</t>
    </r>
    <r>
      <rPr>
        <sz val="12"/>
        <color theme="1"/>
        <rFont val="微軟正黑體"/>
        <family val="2"/>
        <charset val="136"/>
      </rPr>
      <t>股票貸款</t>
    </r>
  </si>
  <si>
    <r>
      <t>46=</t>
    </r>
    <r>
      <rPr>
        <sz val="12"/>
        <color theme="1"/>
        <rFont val="微軟正黑體"/>
        <family val="2"/>
        <charset val="136"/>
      </rPr>
      <t>特定金錢信託受益權貸款</t>
    </r>
  </si>
  <si>
    <r>
      <t>47=</t>
    </r>
    <r>
      <rPr>
        <sz val="12"/>
        <color theme="1"/>
        <rFont val="微軟正黑體"/>
        <family val="2"/>
        <charset val="136"/>
      </rPr>
      <t>回復型房貸</t>
    </r>
  </si>
  <si>
    <r>
      <t>48=</t>
    </r>
    <r>
      <rPr>
        <sz val="12"/>
        <color theme="1"/>
        <rFont val="微軟正黑體"/>
        <family val="2"/>
        <charset val="136"/>
      </rPr>
      <t>信保貸款</t>
    </r>
  </si>
  <si>
    <r>
      <t>49=</t>
    </r>
    <r>
      <rPr>
        <sz val="12"/>
        <color theme="1"/>
        <rFont val="微軟正黑體"/>
        <family val="2"/>
        <charset val="136"/>
      </rPr>
      <t>其他企業放款</t>
    </r>
  </si>
  <si>
    <r>
      <t>90=</t>
    </r>
    <r>
      <rPr>
        <sz val="12"/>
        <color theme="1"/>
        <rFont val="微軟正黑體"/>
        <family val="2"/>
        <charset val="136"/>
      </rPr>
      <t>應收</t>
    </r>
    <r>
      <rPr>
        <sz val="12"/>
        <color theme="1"/>
        <rFont val="Calibri"/>
        <family val="2"/>
      </rPr>
      <t>DA</t>
    </r>
    <r>
      <rPr>
        <sz val="12"/>
        <color theme="1"/>
        <rFont val="微軟正黑體"/>
        <family val="2"/>
        <charset val="136"/>
      </rPr>
      <t>買斷</t>
    </r>
  </si>
  <si>
    <r>
      <t>91=</t>
    </r>
    <r>
      <rPr>
        <sz val="12"/>
        <color theme="1"/>
        <rFont val="微軟正黑體"/>
        <family val="2"/>
        <charset val="136"/>
      </rPr>
      <t>出口押匯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即期</t>
    </r>
  </si>
  <si>
    <r>
      <t>92=</t>
    </r>
    <r>
      <rPr>
        <sz val="12"/>
        <color theme="1"/>
        <rFont val="微軟正黑體"/>
        <family val="2"/>
        <charset val="136"/>
      </rPr>
      <t>出口押匯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遠期</t>
    </r>
  </si>
  <si>
    <r>
      <t>93=</t>
    </r>
    <r>
      <rPr>
        <sz val="12"/>
        <color theme="1"/>
        <rFont val="微軟正黑體"/>
        <family val="2"/>
        <charset val="136"/>
      </rPr>
      <t>出口託收貼現</t>
    </r>
  </si>
  <si>
    <r>
      <t>94=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進口</t>
    </r>
  </si>
  <si>
    <r>
      <t>95=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出口</t>
    </r>
  </si>
  <si>
    <r>
      <t>96=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付款銀行</t>
    </r>
  </si>
  <si>
    <r>
      <t>97=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付款保證函</t>
    </r>
  </si>
  <si>
    <r>
      <t>054=</t>
    </r>
    <r>
      <rPr>
        <sz val="12"/>
        <color theme="1"/>
        <rFont val="微軟正黑體"/>
        <family val="2"/>
        <charset val="136"/>
      </rPr>
      <t>承兌</t>
    </r>
  </si>
  <si>
    <r>
      <t>058=</t>
    </r>
    <r>
      <rPr>
        <sz val="12"/>
        <color theme="1"/>
        <rFont val="微軟正黑體"/>
        <family val="2"/>
        <charset val="136"/>
      </rPr>
      <t>出口押匯</t>
    </r>
  </si>
  <si>
    <r>
      <t>059=</t>
    </r>
    <r>
      <rPr>
        <sz val="12"/>
        <color theme="1"/>
        <rFont val="微軟正黑體"/>
        <family val="2"/>
        <charset val="136"/>
      </rPr>
      <t>買入匯款</t>
    </r>
  </si>
  <si>
    <r>
      <t>060=</t>
    </r>
    <r>
      <rPr>
        <sz val="12"/>
        <color theme="1"/>
        <rFont val="微軟正黑體"/>
        <family val="2"/>
        <charset val="136"/>
      </rPr>
      <t>同業擔保透支</t>
    </r>
  </si>
  <si>
    <r>
      <t>061=</t>
    </r>
    <r>
      <rPr>
        <sz val="12"/>
        <color theme="1"/>
        <rFont val="微軟正黑體"/>
        <family val="2"/>
        <charset val="136"/>
      </rPr>
      <t>同業透支</t>
    </r>
  </si>
  <si>
    <r>
      <t>062=</t>
    </r>
    <r>
      <rPr>
        <sz val="12"/>
        <color theme="1"/>
        <rFont val="微軟正黑體"/>
        <family val="2"/>
        <charset val="136"/>
      </rPr>
      <t>無擔透支</t>
    </r>
  </si>
  <si>
    <r>
      <t>064=</t>
    </r>
    <r>
      <rPr>
        <sz val="12"/>
        <color theme="1"/>
        <rFont val="微軟正黑體"/>
        <family val="2"/>
        <charset val="136"/>
      </rPr>
      <t>有擔透支</t>
    </r>
  </si>
  <si>
    <r>
      <t>066=</t>
    </r>
    <r>
      <rPr>
        <sz val="12"/>
        <color theme="1"/>
        <rFont val="微軟正黑體"/>
        <family val="2"/>
        <charset val="136"/>
      </rPr>
      <t>短期放款</t>
    </r>
  </si>
  <si>
    <r>
      <t>068=</t>
    </r>
    <r>
      <rPr>
        <sz val="12"/>
        <color theme="1"/>
        <rFont val="微軟正黑體"/>
        <family val="2"/>
        <charset val="136"/>
      </rPr>
      <t>短期擔保放款</t>
    </r>
  </si>
  <si>
    <r>
      <t>070=</t>
    </r>
    <r>
      <rPr>
        <sz val="12"/>
        <color theme="1"/>
        <rFont val="微軟正黑體"/>
        <family val="2"/>
        <charset val="136"/>
      </rPr>
      <t>中期放款</t>
    </r>
  </si>
  <si>
    <r>
      <t>072=</t>
    </r>
    <r>
      <rPr>
        <sz val="12"/>
        <color theme="1"/>
        <rFont val="微軟正黑體"/>
        <family val="2"/>
        <charset val="136"/>
      </rPr>
      <t>中期擔保放款</t>
    </r>
  </si>
  <si>
    <r>
      <t>075=</t>
    </r>
    <r>
      <rPr>
        <sz val="12"/>
        <color theme="1"/>
        <rFont val="微軟正黑體"/>
        <family val="2"/>
        <charset val="136"/>
      </rPr>
      <t>長期放款</t>
    </r>
  </si>
  <si>
    <r>
      <t>076=</t>
    </r>
    <r>
      <rPr>
        <sz val="12"/>
        <color theme="1"/>
        <rFont val="微軟正黑體"/>
        <family val="2"/>
        <charset val="136"/>
      </rPr>
      <t>長期擔保放款</t>
    </r>
  </si>
  <si>
    <r>
      <t>082=</t>
    </r>
    <r>
      <rPr>
        <sz val="12"/>
        <color theme="1"/>
        <rFont val="微軟正黑體"/>
        <family val="2"/>
        <charset val="136"/>
      </rPr>
      <t>保證</t>
    </r>
  </si>
  <si>
    <r>
      <t>083=</t>
    </r>
    <r>
      <rPr>
        <sz val="12"/>
        <color theme="1"/>
        <rFont val="微軟正黑體"/>
        <family val="2"/>
        <charset val="136"/>
      </rPr>
      <t>信用狀</t>
    </r>
  </si>
  <si>
    <r>
      <t>084=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 xml:space="preserve">-CN	</t>
    </r>
  </si>
  <si>
    <r>
      <t>085=</t>
    </r>
    <r>
      <rPr>
        <sz val="12"/>
        <color theme="1"/>
        <rFont val="微軟正黑體"/>
        <family val="2"/>
        <charset val="136"/>
      </rPr>
      <t>海外代付</t>
    </r>
    <r>
      <rPr>
        <sz val="12"/>
        <color theme="1"/>
        <rFont val="Calibri"/>
        <family val="2"/>
      </rPr>
      <t>-OTR</t>
    </r>
  </si>
  <si>
    <t>090=Factoring</t>
    <phoneticPr fontId="3" type="noConversion"/>
  </si>
  <si>
    <r>
      <rPr>
        <sz val="12"/>
        <color theme="1"/>
        <rFont val="微軟正黑體"/>
        <family val="2"/>
        <charset val="136"/>
      </rPr>
      <t>欄位名稱</t>
    </r>
  </si>
  <si>
    <r>
      <rPr>
        <sz val="12"/>
        <color theme="1"/>
        <rFont val="微軟正黑體"/>
        <family val="2"/>
        <charset val="136"/>
      </rPr>
      <t>對應</t>
    </r>
    <r>
      <rPr>
        <sz val="12"/>
        <color theme="1"/>
        <rFont val="Calibri"/>
        <family val="2"/>
      </rPr>
      <t>API Vocabulary</t>
    </r>
  </si>
  <si>
    <r>
      <rPr>
        <sz val="12"/>
        <color theme="1"/>
        <rFont val="微軟正黑體"/>
        <family val="2"/>
        <charset val="136"/>
      </rPr>
      <t>選項</t>
    </r>
    <phoneticPr fontId="3" type="noConversion"/>
  </si>
  <si>
    <r>
      <t>C01=</t>
    </r>
    <r>
      <rPr>
        <sz val="12"/>
        <color theme="1"/>
        <rFont val="微軟正黑體"/>
        <family val="2"/>
        <charset val="136"/>
      </rPr>
      <t>新車</t>
    </r>
  </si>
  <si>
    <r>
      <t>C02=</t>
    </r>
    <r>
      <rPr>
        <sz val="12"/>
        <color theme="1"/>
        <rFont val="微軟正黑體"/>
        <family val="2"/>
        <charset val="136"/>
      </rPr>
      <t>中古車</t>
    </r>
  </si>
  <si>
    <r>
      <t>C03=</t>
    </r>
    <r>
      <rPr>
        <sz val="12"/>
        <color theme="1"/>
        <rFont val="微軟正黑體"/>
        <family val="2"/>
        <charset val="136"/>
      </rPr>
      <t>行員</t>
    </r>
  </si>
  <si>
    <r>
      <t>C04=</t>
    </r>
    <r>
      <rPr>
        <sz val="12"/>
        <color theme="1"/>
        <rFont val="微軟正黑體"/>
        <family val="2"/>
        <charset val="136"/>
      </rPr>
      <t>原車融資</t>
    </r>
  </si>
  <si>
    <r>
      <t>C05=</t>
    </r>
    <r>
      <rPr>
        <sz val="12"/>
        <color theme="1"/>
        <rFont val="微軟正黑體"/>
        <family val="2"/>
        <charset val="136"/>
      </rPr>
      <t>新古車</t>
    </r>
  </si>
  <si>
    <r>
      <t>C06=</t>
    </r>
    <r>
      <rPr>
        <sz val="12"/>
        <color theme="1"/>
        <rFont val="微軟正黑體"/>
        <family val="2"/>
        <charset val="136"/>
      </rPr>
      <t>展示車</t>
    </r>
  </si>
  <si>
    <r>
      <t>C07=</t>
    </r>
    <r>
      <rPr>
        <sz val="12"/>
        <color theme="1"/>
        <rFont val="微軟正黑體"/>
        <family val="2"/>
        <charset val="136"/>
      </rPr>
      <t>車貸代償</t>
    </r>
  </si>
  <si>
    <r>
      <t>L01=</t>
    </r>
    <r>
      <rPr>
        <sz val="12"/>
        <color theme="1"/>
        <rFont val="微軟正黑體"/>
        <family val="2"/>
        <charset val="136"/>
      </rPr>
      <t>購置不動產</t>
    </r>
  </si>
  <si>
    <r>
      <t>L02=</t>
    </r>
    <r>
      <rPr>
        <sz val="12"/>
        <color theme="1"/>
        <rFont val="微軟正黑體"/>
        <family val="2"/>
        <charset val="136"/>
      </rPr>
      <t>購置動產</t>
    </r>
  </si>
  <si>
    <r>
      <t>L03=</t>
    </r>
    <r>
      <rPr>
        <sz val="12"/>
        <color theme="1"/>
        <rFont val="微軟正黑體"/>
        <family val="2"/>
        <charset val="136"/>
      </rPr>
      <t>企業投資</t>
    </r>
  </si>
  <si>
    <r>
      <t>L04=</t>
    </r>
    <r>
      <rPr>
        <sz val="12"/>
        <color theme="1"/>
        <rFont val="微軟正黑體"/>
        <family val="2"/>
        <charset val="136"/>
      </rPr>
      <t>週轉金</t>
    </r>
  </si>
  <si>
    <r>
      <t>L05=</t>
    </r>
    <r>
      <rPr>
        <sz val="12"/>
        <color theme="1"/>
        <rFont val="微軟正黑體"/>
        <family val="2"/>
        <charset val="136"/>
      </rPr>
      <t>車商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分期付款銷貨週轉金貸款</t>
    </r>
  </si>
  <si>
    <r>
      <t>L06=</t>
    </r>
    <r>
      <rPr>
        <sz val="12"/>
        <color theme="1"/>
        <rFont val="微軟正黑體"/>
        <family val="2"/>
        <charset val="136"/>
      </rPr>
      <t>其他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分期付款銷貨週轉金貸款</t>
    </r>
  </si>
  <si>
    <r>
      <t>M01=</t>
    </r>
    <r>
      <rPr>
        <sz val="12"/>
        <color theme="1"/>
        <rFont val="微軟正黑體"/>
        <family val="2"/>
        <charset val="136"/>
      </rPr>
      <t>自住</t>
    </r>
  </si>
  <si>
    <r>
      <t>M02=</t>
    </r>
    <r>
      <rPr>
        <sz val="12"/>
        <color theme="1"/>
        <rFont val="微軟正黑體"/>
        <family val="2"/>
        <charset val="136"/>
      </rPr>
      <t>投資</t>
    </r>
  </si>
  <si>
    <r>
      <t>M03=</t>
    </r>
    <r>
      <rPr>
        <sz val="12"/>
        <color theme="1"/>
        <rFont val="微軟正黑體"/>
        <family val="2"/>
        <charset val="136"/>
      </rPr>
      <t>商用</t>
    </r>
  </si>
  <si>
    <r>
      <t>M04=</t>
    </r>
    <r>
      <rPr>
        <sz val="12"/>
        <color theme="1"/>
        <rFont val="微軟正黑體"/>
        <family val="2"/>
        <charset val="136"/>
      </rPr>
      <t>行員</t>
    </r>
  </si>
  <si>
    <r>
      <t>M05=</t>
    </r>
    <r>
      <rPr>
        <sz val="12"/>
        <color theme="1"/>
        <rFont val="微軟正黑體"/>
        <family val="2"/>
        <charset val="136"/>
      </rPr>
      <t>修繕</t>
    </r>
  </si>
  <si>
    <r>
      <t>M06=</t>
    </r>
    <r>
      <rPr>
        <sz val="12"/>
        <color theme="1"/>
        <rFont val="微軟正黑體"/>
        <family val="2"/>
        <charset val="136"/>
      </rPr>
      <t>首次購屋</t>
    </r>
  </si>
  <si>
    <r>
      <t>M07=</t>
    </r>
    <r>
      <rPr>
        <sz val="12"/>
        <color theme="1"/>
        <rFont val="微軟正黑體"/>
        <family val="2"/>
        <charset val="136"/>
      </rPr>
      <t>購屋儲蓄貸款</t>
    </r>
  </si>
  <si>
    <r>
      <t>M08=</t>
    </r>
    <r>
      <rPr>
        <sz val="12"/>
        <color theme="1"/>
        <rFont val="微軟正黑體"/>
        <family val="2"/>
        <charset val="136"/>
      </rPr>
      <t>勞工購屋貸款</t>
    </r>
  </si>
  <si>
    <r>
      <t>M09=</t>
    </r>
    <r>
      <rPr>
        <sz val="12"/>
        <color theme="1"/>
        <rFont val="微軟正黑體"/>
        <family val="2"/>
        <charset val="136"/>
      </rPr>
      <t>勞工修繕貸款</t>
    </r>
  </si>
  <si>
    <r>
      <t>M10=</t>
    </r>
    <r>
      <rPr>
        <sz val="12"/>
        <color theme="1"/>
        <rFont val="微軟正黑體"/>
        <family val="2"/>
        <charset val="136"/>
      </rPr>
      <t>人民自購貸款</t>
    </r>
  </si>
  <si>
    <r>
      <t>M11=</t>
    </r>
    <r>
      <rPr>
        <sz val="12"/>
        <color theme="1"/>
        <rFont val="微軟正黑體"/>
        <family val="2"/>
        <charset val="136"/>
      </rPr>
      <t>郵儲撥轉首次貸款</t>
    </r>
  </si>
  <si>
    <r>
      <t>M12=</t>
    </r>
    <r>
      <rPr>
        <sz val="12"/>
        <color theme="1"/>
        <rFont val="微軟正黑體"/>
        <family val="2"/>
        <charset val="136"/>
      </rPr>
      <t>人民修繕貸款</t>
    </r>
  </si>
  <si>
    <r>
      <t>M13=</t>
    </r>
    <r>
      <rPr>
        <sz val="12"/>
        <color theme="1"/>
        <rFont val="微軟正黑體"/>
        <family val="2"/>
        <charset val="136"/>
      </rPr>
      <t>原住民購屋貸款</t>
    </r>
  </si>
  <si>
    <r>
      <t>M14=</t>
    </r>
    <r>
      <rPr>
        <sz val="12"/>
        <color theme="1"/>
        <rFont val="微軟正黑體"/>
        <family val="2"/>
        <charset val="136"/>
      </rPr>
      <t>原住民修繕貸款</t>
    </r>
  </si>
  <si>
    <r>
      <t>M15=</t>
    </r>
    <r>
      <rPr>
        <sz val="12"/>
        <color theme="1"/>
        <rFont val="微軟正黑體"/>
        <family val="2"/>
        <charset val="136"/>
      </rPr>
      <t>人民撥轉郵儲優惠</t>
    </r>
  </si>
  <si>
    <r>
      <t>M16=</t>
    </r>
    <r>
      <rPr>
        <sz val="12"/>
        <color theme="1"/>
        <rFont val="微軟正黑體"/>
        <family val="2"/>
        <charset val="136"/>
      </rPr>
      <t>人民撥轉郵儲一般</t>
    </r>
  </si>
  <si>
    <r>
      <t>M17=</t>
    </r>
    <r>
      <rPr>
        <sz val="12"/>
        <color theme="1"/>
        <rFont val="微軟正黑體"/>
        <family val="2"/>
        <charset val="136"/>
      </rPr>
      <t>郵儲撥轉補貼貸款</t>
    </r>
  </si>
  <si>
    <r>
      <t>M18=</t>
    </r>
    <r>
      <rPr>
        <sz val="12"/>
        <color theme="1"/>
        <rFont val="微軟正黑體"/>
        <family val="2"/>
        <charset val="136"/>
      </rPr>
      <t>郵儲撥轉補貼首購</t>
    </r>
  </si>
  <si>
    <r>
      <t>M19=</t>
    </r>
    <r>
      <rPr>
        <sz val="12"/>
        <color theme="1"/>
        <rFont val="微軟正黑體"/>
        <family val="2"/>
        <charset val="136"/>
      </rPr>
      <t>郵儲撥轉一般首購屋</t>
    </r>
  </si>
  <si>
    <r>
      <t>M20=</t>
    </r>
    <r>
      <rPr>
        <sz val="12"/>
        <color theme="1"/>
        <rFont val="微軟正黑體"/>
        <family val="2"/>
        <charset val="136"/>
      </rPr>
      <t>其他</t>
    </r>
  </si>
  <si>
    <r>
      <t>M21=921</t>
    </r>
    <r>
      <rPr>
        <sz val="12"/>
        <color theme="1"/>
        <rFont val="微軟正黑體"/>
        <family val="2"/>
        <charset val="136"/>
      </rPr>
      <t>震災專案</t>
    </r>
  </si>
  <si>
    <r>
      <t>M22=921</t>
    </r>
    <r>
      <rPr>
        <sz val="12"/>
        <color theme="1"/>
        <rFont val="微軟正黑體"/>
        <family val="2"/>
        <charset val="136"/>
      </rPr>
      <t>郵儲補貼無息購屋</t>
    </r>
  </si>
  <si>
    <r>
      <t>M23=921</t>
    </r>
    <r>
      <rPr>
        <sz val="12"/>
        <color theme="1"/>
        <rFont val="微軟正黑體"/>
        <family val="2"/>
        <charset val="136"/>
      </rPr>
      <t>郵儲補貼低利購屋</t>
    </r>
  </si>
  <si>
    <r>
      <t>M24=921</t>
    </r>
    <r>
      <rPr>
        <sz val="12"/>
        <color theme="1"/>
        <rFont val="微軟正黑體"/>
        <family val="2"/>
        <charset val="136"/>
      </rPr>
      <t>郵儲補貼低利修繕</t>
    </r>
  </si>
  <si>
    <r>
      <t>M25=</t>
    </r>
    <r>
      <rPr>
        <sz val="12"/>
        <color theme="1"/>
        <rFont val="微軟正黑體"/>
        <family val="2"/>
        <charset val="136"/>
      </rPr>
      <t>協議案件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一般</t>
    </r>
  </si>
  <si>
    <r>
      <t>M26=</t>
    </r>
    <r>
      <rPr>
        <sz val="12"/>
        <color theme="1"/>
        <rFont val="微軟正黑體"/>
        <family val="2"/>
        <charset val="136"/>
      </rPr>
      <t>其他購置住宅貸款</t>
    </r>
  </si>
  <si>
    <r>
      <t>M27=</t>
    </r>
    <r>
      <rPr>
        <sz val="12"/>
        <color theme="1"/>
        <rFont val="微軟正黑體"/>
        <family val="2"/>
        <charset val="136"/>
      </rPr>
      <t>自有資金優惠購屋專案</t>
    </r>
  </si>
  <si>
    <r>
      <t>M28=</t>
    </r>
    <r>
      <rPr>
        <sz val="12"/>
        <color theme="1"/>
        <rFont val="微軟正黑體"/>
        <family val="2"/>
        <charset val="136"/>
      </rPr>
      <t>自有資金青年優惠購屋專案</t>
    </r>
  </si>
  <si>
    <r>
      <t>M29=</t>
    </r>
    <r>
      <rPr>
        <sz val="12"/>
        <color theme="1"/>
        <rFont val="微軟正黑體"/>
        <family val="2"/>
        <charset val="136"/>
      </rPr>
      <t>自有資金優惠購屋（補貼減半）</t>
    </r>
  </si>
  <si>
    <r>
      <t>M30=</t>
    </r>
    <r>
      <rPr>
        <sz val="12"/>
        <color theme="1"/>
        <rFont val="微軟正黑體"/>
        <family val="2"/>
        <charset val="136"/>
      </rPr>
      <t>永慶房屋購置自用住宅優惠專案</t>
    </r>
  </si>
  <si>
    <r>
      <t>M31=</t>
    </r>
    <r>
      <rPr>
        <sz val="12"/>
        <color theme="1"/>
        <rFont val="微軟正黑體"/>
        <family val="2"/>
        <charset val="136"/>
      </rPr>
      <t>信義房屋購置自用住宅優惠專案</t>
    </r>
  </si>
  <si>
    <r>
      <t>M32=</t>
    </r>
    <r>
      <rPr>
        <sz val="12"/>
        <color theme="1"/>
        <rFont val="微軟正黑體"/>
        <family val="2"/>
        <charset val="136"/>
      </rPr>
      <t>自有資金優惠購屋（補貼</t>
    </r>
    <r>
      <rPr>
        <sz val="12"/>
        <color theme="1"/>
        <rFont val="Calibri"/>
        <family val="2"/>
      </rPr>
      <t>0.25%</t>
    </r>
    <r>
      <rPr>
        <sz val="12"/>
        <color theme="1"/>
        <rFont val="微軟正黑體"/>
        <family val="2"/>
        <charset val="136"/>
      </rPr>
      <t>）</t>
    </r>
  </si>
  <si>
    <r>
      <t>M33=</t>
    </r>
    <r>
      <rPr>
        <sz val="12"/>
        <color theme="1"/>
        <rFont val="微軟正黑體"/>
        <family val="2"/>
        <charset val="136"/>
      </rPr>
      <t>優惠房貸同用途</t>
    </r>
    <r>
      <rPr>
        <sz val="12"/>
        <color theme="1"/>
        <rFont val="Calibri"/>
        <family val="2"/>
      </rPr>
      <t>29</t>
    </r>
    <r>
      <rPr>
        <sz val="12"/>
        <color theme="1"/>
        <rFont val="微軟正黑體"/>
        <family val="2"/>
        <charset val="136"/>
      </rPr>
      <t>（補貼</t>
    </r>
    <r>
      <rPr>
        <sz val="12"/>
        <color theme="1"/>
        <rFont val="Calibri"/>
        <family val="2"/>
      </rPr>
      <t>0.25%)</t>
    </r>
  </si>
  <si>
    <r>
      <t>M34=</t>
    </r>
    <r>
      <rPr>
        <sz val="12"/>
        <color theme="1"/>
        <rFont val="微軟正黑體"/>
        <family val="2"/>
        <charset val="136"/>
      </rPr>
      <t>房貸優質專案</t>
    </r>
  </si>
  <si>
    <r>
      <t>M35=</t>
    </r>
    <r>
      <rPr>
        <sz val="12"/>
        <color theme="1"/>
        <rFont val="微軟正黑體"/>
        <family val="2"/>
        <charset val="136"/>
      </rPr>
      <t>土地融資</t>
    </r>
  </si>
  <si>
    <r>
      <t>M36=</t>
    </r>
    <r>
      <rPr>
        <sz val="12"/>
        <color theme="1"/>
        <rFont val="微軟正黑體"/>
        <family val="2"/>
        <charset val="136"/>
      </rPr>
      <t>自有資金優惠購屋（補貼</t>
    </r>
    <r>
      <rPr>
        <sz val="12"/>
        <color theme="1"/>
        <rFont val="Calibri"/>
        <family val="2"/>
      </rPr>
      <t>0.125%</t>
    </r>
    <r>
      <rPr>
        <sz val="12"/>
        <color theme="1"/>
        <rFont val="微軟正黑體"/>
        <family val="2"/>
        <charset val="136"/>
      </rPr>
      <t>）</t>
    </r>
  </si>
  <si>
    <r>
      <t>M37=</t>
    </r>
    <r>
      <rPr>
        <sz val="12"/>
        <color theme="1"/>
        <rFont val="微軟正黑體"/>
        <family val="2"/>
        <charset val="136"/>
      </rPr>
      <t>優惠房貸同用途</t>
    </r>
    <r>
      <rPr>
        <sz val="12"/>
        <color theme="1"/>
        <rFont val="Calibri"/>
        <family val="2"/>
      </rPr>
      <t>36</t>
    </r>
    <r>
      <rPr>
        <sz val="12"/>
        <color theme="1"/>
        <rFont val="微軟正黑體"/>
        <family val="2"/>
        <charset val="136"/>
      </rPr>
      <t>（補貼</t>
    </r>
    <r>
      <rPr>
        <sz val="12"/>
        <color theme="1"/>
        <rFont val="Calibri"/>
        <family val="2"/>
      </rPr>
      <t>0.125%</t>
    </r>
    <r>
      <rPr>
        <sz val="12"/>
        <color theme="1"/>
        <rFont val="微軟正黑體"/>
        <family val="2"/>
        <charset val="136"/>
      </rPr>
      <t>）</t>
    </r>
  </si>
  <si>
    <r>
      <t>M38=MMA</t>
    </r>
    <r>
      <rPr>
        <sz val="12"/>
        <color theme="1"/>
        <rFont val="微軟正黑體"/>
        <family val="2"/>
        <charset val="136"/>
      </rPr>
      <t>轉運貸</t>
    </r>
  </si>
  <si>
    <r>
      <t>M39=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購屋</t>
    </r>
    <r>
      <rPr>
        <sz val="12"/>
        <color theme="1"/>
        <rFont val="Calibri"/>
        <family val="2"/>
      </rPr>
      <t>)</t>
    </r>
  </si>
  <si>
    <r>
      <t>M40=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轉貸</t>
    </r>
    <r>
      <rPr>
        <sz val="12"/>
        <color theme="1"/>
        <rFont val="Calibri"/>
        <family val="2"/>
      </rPr>
      <t>)</t>
    </r>
  </si>
  <si>
    <r>
      <t>M41=</t>
    </r>
    <r>
      <rPr>
        <sz val="12"/>
        <color theme="1"/>
        <rFont val="微軟正黑體"/>
        <family val="2"/>
        <charset val="136"/>
      </rPr>
      <t>一率到底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其他</t>
    </r>
    <r>
      <rPr>
        <sz val="12"/>
        <color theme="1"/>
        <rFont val="Calibri"/>
        <family val="2"/>
      </rPr>
      <t>)</t>
    </r>
  </si>
  <si>
    <r>
      <t>M42=</t>
    </r>
    <r>
      <rPr>
        <sz val="12"/>
        <color theme="1"/>
        <rFont val="微軟正黑體"/>
        <family val="2"/>
        <charset val="136"/>
      </rPr>
      <t>首次購屋貸款央行專案融資</t>
    </r>
  </si>
  <si>
    <r>
      <t>M43=</t>
    </r>
    <r>
      <rPr>
        <sz val="12"/>
        <color theme="1"/>
        <rFont val="微軟正黑體"/>
        <family val="2"/>
        <charset val="136"/>
      </rPr>
      <t>首次購屋貸款準備金提撥</t>
    </r>
  </si>
  <si>
    <r>
      <t>M44=</t>
    </r>
    <r>
      <rPr>
        <sz val="12"/>
        <color theme="1"/>
        <rFont val="微軟正黑體"/>
        <family val="2"/>
        <charset val="136"/>
      </rPr>
      <t>青年購屋低利貸款</t>
    </r>
  </si>
  <si>
    <r>
      <t>M45=</t>
    </r>
    <r>
      <rPr>
        <sz val="12"/>
        <color theme="1"/>
        <rFont val="微軟正黑體"/>
        <family val="2"/>
        <charset val="136"/>
      </rPr>
      <t>北市公教人員貸款（補貼）</t>
    </r>
  </si>
  <si>
    <r>
      <t>M46=</t>
    </r>
    <r>
      <rPr>
        <sz val="12"/>
        <color theme="1"/>
        <rFont val="微軟正黑體"/>
        <family val="2"/>
        <charset val="136"/>
      </rPr>
      <t>建築融資貸款</t>
    </r>
  </si>
  <si>
    <r>
      <t>M47=</t>
    </r>
    <r>
      <rPr>
        <sz val="12"/>
        <color theme="1"/>
        <rFont val="微軟正黑體"/>
        <family val="2"/>
        <charset val="136"/>
      </rPr>
      <t>參與都市更新計劃貸款</t>
    </r>
  </si>
  <si>
    <r>
      <t>M48=</t>
    </r>
    <r>
      <rPr>
        <sz val="12"/>
        <color theme="1"/>
        <rFont val="微軟正黑體"/>
        <family val="2"/>
        <charset val="136"/>
      </rPr>
      <t>增撥二仟億優惠購屋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</t>
    </r>
    <r>
      <rPr>
        <sz val="12"/>
        <color theme="1"/>
        <rFont val="Calibri"/>
        <family val="2"/>
      </rPr>
      <t>0.7%)</t>
    </r>
  </si>
  <si>
    <r>
      <t>M49=</t>
    </r>
    <r>
      <rPr>
        <sz val="12"/>
        <color theme="1"/>
        <rFont val="微軟正黑體"/>
        <family val="2"/>
        <charset val="136"/>
      </rPr>
      <t>政府優惠購屋貸款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不補貼</t>
    </r>
    <r>
      <rPr>
        <sz val="12"/>
        <color theme="1"/>
        <rFont val="Calibri"/>
        <family val="2"/>
      </rPr>
      <t>)</t>
    </r>
  </si>
  <si>
    <r>
      <t>M50=</t>
    </r>
    <r>
      <rPr>
        <sz val="12"/>
        <color theme="1"/>
        <rFont val="微軟正黑體"/>
        <family val="2"/>
        <charset val="136"/>
      </rPr>
      <t>青年安心成家購屋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補貼二十年</t>
    </r>
    <r>
      <rPr>
        <sz val="12"/>
        <color theme="1"/>
        <rFont val="Calibri"/>
        <family val="2"/>
      </rPr>
      <t>)</t>
    </r>
  </si>
  <si>
    <r>
      <t>M51=</t>
    </r>
    <r>
      <rPr>
        <sz val="12"/>
        <color theme="1"/>
        <rFont val="微軟正黑體"/>
        <family val="2"/>
        <charset val="136"/>
      </rPr>
      <t>青年安心成家購屋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補貼前二年</t>
    </r>
    <r>
      <rPr>
        <sz val="12"/>
        <color theme="1"/>
        <rFont val="Calibri"/>
        <family val="2"/>
      </rPr>
      <t>)</t>
    </r>
  </si>
  <si>
    <r>
      <t>M52=</t>
    </r>
    <r>
      <rPr>
        <sz val="12"/>
        <color theme="1"/>
        <rFont val="微軟正黑體"/>
        <family val="2"/>
        <charset val="136"/>
      </rPr>
      <t>內政部購置住宅貸款第一類</t>
    </r>
  </si>
  <si>
    <r>
      <t>M53=</t>
    </r>
    <r>
      <rPr>
        <sz val="12"/>
        <color theme="1"/>
        <rFont val="微軟正黑體"/>
        <family val="2"/>
        <charset val="136"/>
      </rPr>
      <t>內政部購置住宅貸款第二類</t>
    </r>
  </si>
  <si>
    <r>
      <t>M54=</t>
    </r>
    <r>
      <rPr>
        <sz val="12"/>
        <color theme="1"/>
        <rFont val="微軟正黑體"/>
        <family val="2"/>
        <charset val="136"/>
      </rPr>
      <t>內政部修繕住宅貸款第一類</t>
    </r>
  </si>
  <si>
    <r>
      <t>M55=</t>
    </r>
    <r>
      <rPr>
        <sz val="12"/>
        <color theme="1"/>
        <rFont val="微軟正黑體"/>
        <family val="2"/>
        <charset val="136"/>
      </rPr>
      <t>內政部修繕住宅貸款第二類</t>
    </r>
  </si>
  <si>
    <r>
      <t>M56=</t>
    </r>
    <r>
      <rPr>
        <sz val="12"/>
        <color theme="1"/>
        <rFont val="微軟正黑體"/>
        <family val="2"/>
        <charset val="136"/>
      </rPr>
      <t>自辦青年安心成家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無補貼</t>
    </r>
    <r>
      <rPr>
        <sz val="12"/>
        <color theme="1"/>
        <rFont val="Calibri"/>
        <family val="2"/>
      </rPr>
      <t>)</t>
    </r>
  </si>
  <si>
    <r>
      <t>M57=</t>
    </r>
    <r>
      <rPr>
        <sz val="12"/>
        <color theme="1"/>
        <rFont val="微軟正黑體"/>
        <family val="2"/>
        <charset val="136"/>
      </rPr>
      <t>青年築夢創業啟動金貸款</t>
    </r>
  </si>
  <si>
    <r>
      <t>M58=</t>
    </r>
    <r>
      <rPr>
        <sz val="12"/>
        <color theme="1"/>
        <rFont val="微軟正黑體"/>
        <family val="2"/>
        <charset val="136"/>
      </rPr>
      <t>金門地方建設開發基金購屋貸款</t>
    </r>
  </si>
  <si>
    <r>
      <t>M59=</t>
    </r>
    <r>
      <rPr>
        <sz val="12"/>
        <color theme="1"/>
        <rFont val="微軟正黑體"/>
        <family val="2"/>
        <charset val="136"/>
      </rPr>
      <t>青年創業及啟動金貸款</t>
    </r>
  </si>
  <si>
    <r>
      <t>M60=</t>
    </r>
    <r>
      <rPr>
        <sz val="12"/>
        <color theme="1"/>
        <rFont val="微軟正黑體"/>
        <family val="2"/>
        <charset val="136"/>
      </rPr>
      <t>台中市青年首次購屋優惠貸款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非一､二類</t>
    </r>
    <r>
      <rPr>
        <sz val="12"/>
        <color theme="1"/>
        <rFont val="Calibri"/>
        <family val="2"/>
      </rPr>
      <t>)</t>
    </r>
  </si>
  <si>
    <r>
      <t>P01=</t>
    </r>
    <r>
      <rPr>
        <sz val="12"/>
        <color theme="1"/>
        <rFont val="微軟正黑體"/>
        <family val="2"/>
        <charset val="136"/>
      </rPr>
      <t>一般貸款</t>
    </r>
  </si>
  <si>
    <r>
      <t>P02=</t>
    </r>
    <r>
      <rPr>
        <sz val="12"/>
        <color theme="1"/>
        <rFont val="微軟正黑體"/>
        <family val="2"/>
        <charset val="136"/>
      </rPr>
      <t>房貸信用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理財金</t>
    </r>
  </si>
  <si>
    <r>
      <t>P03=</t>
    </r>
    <r>
      <rPr>
        <sz val="12"/>
        <color theme="1"/>
        <rFont val="微軟正黑體"/>
        <family val="2"/>
        <charset val="136"/>
      </rPr>
      <t>小額信貸附加信保</t>
    </r>
  </si>
  <si>
    <r>
      <t>P04=</t>
    </r>
    <r>
      <rPr>
        <sz val="12"/>
        <color theme="1"/>
        <rFont val="微軟正黑體"/>
        <family val="2"/>
        <charset val="136"/>
      </rPr>
      <t>行員</t>
    </r>
  </si>
  <si>
    <r>
      <t>P05=</t>
    </r>
    <r>
      <rPr>
        <sz val="12"/>
        <color theme="1"/>
        <rFont val="微軟正黑體"/>
        <family val="2"/>
        <charset val="136"/>
      </rPr>
      <t>ＦＥＮＢ個人信貸</t>
    </r>
  </si>
  <si>
    <r>
      <t>P06=</t>
    </r>
    <r>
      <rPr>
        <sz val="12"/>
        <color theme="1"/>
        <rFont val="微軟正黑體"/>
        <family val="2"/>
        <charset val="136"/>
      </rPr>
      <t>房屋副擔保</t>
    </r>
  </si>
  <si>
    <r>
      <t>P07=</t>
    </r>
    <r>
      <rPr>
        <sz val="12"/>
        <color theme="1"/>
        <rFont val="微軟正黑體"/>
        <family val="2"/>
        <charset val="136"/>
      </rPr>
      <t>尊榮備用透支</t>
    </r>
  </si>
  <si>
    <r>
      <t>P08=</t>
    </r>
    <r>
      <rPr>
        <sz val="12"/>
        <color theme="1"/>
        <rFont val="微軟正黑體"/>
        <family val="2"/>
        <charset val="136"/>
      </rPr>
      <t>菁英專案</t>
    </r>
  </si>
  <si>
    <r>
      <t>P09=</t>
    </r>
    <r>
      <rPr>
        <sz val="12"/>
        <color theme="1"/>
        <rFont val="微軟正黑體"/>
        <family val="2"/>
        <charset val="136"/>
      </rPr>
      <t>其他</t>
    </r>
  </si>
  <si>
    <r>
      <t>P11=921</t>
    </r>
    <r>
      <rPr>
        <sz val="12"/>
        <color theme="1"/>
        <rFont val="微軟正黑體"/>
        <family val="2"/>
        <charset val="136"/>
      </rPr>
      <t>郵儲補貼無息重建</t>
    </r>
  </si>
  <si>
    <r>
      <t>P16=</t>
    </r>
    <r>
      <rPr>
        <sz val="12"/>
        <color theme="1"/>
        <rFont val="微軟正黑體"/>
        <family val="2"/>
        <charset val="136"/>
      </rPr>
      <t>基金副擔保</t>
    </r>
  </si>
  <si>
    <r>
      <t>P17=</t>
    </r>
    <r>
      <rPr>
        <sz val="12"/>
        <color theme="1"/>
        <rFont val="微軟正黑體"/>
        <family val="2"/>
        <charset val="136"/>
      </rPr>
      <t>青年優惠房貸副擔保－優惠</t>
    </r>
  </si>
  <si>
    <r>
      <t>P18=</t>
    </r>
    <r>
      <rPr>
        <sz val="12"/>
        <color theme="1"/>
        <rFont val="微軟正黑體"/>
        <family val="2"/>
        <charset val="136"/>
      </rPr>
      <t>青年優惠房貸副擔保－一般</t>
    </r>
  </si>
  <si>
    <r>
      <t>P19=</t>
    </r>
    <r>
      <rPr>
        <sz val="12"/>
        <color theme="1"/>
        <rFont val="微軟正黑體"/>
        <family val="2"/>
        <charset val="136"/>
      </rPr>
      <t>汽車副擔保</t>
    </r>
  </si>
  <si>
    <r>
      <t>P20=STRUCTURED NOTES</t>
    </r>
    <r>
      <rPr>
        <sz val="12"/>
        <color theme="1"/>
        <rFont val="微軟正黑體"/>
        <family val="2"/>
        <charset val="136"/>
      </rPr>
      <t>副擔保</t>
    </r>
  </si>
  <si>
    <r>
      <t>P21=DAC</t>
    </r>
    <r>
      <rPr>
        <sz val="12"/>
        <color theme="1"/>
        <rFont val="微軟正黑體"/>
        <family val="2"/>
        <charset val="136"/>
      </rPr>
      <t>專案</t>
    </r>
  </si>
  <si>
    <r>
      <t>P22=</t>
    </r>
    <r>
      <rPr>
        <sz val="12"/>
        <color theme="1"/>
        <rFont val="微軟正黑體"/>
        <family val="2"/>
        <charset val="136"/>
      </rPr>
      <t>理財循環額度轉信貸</t>
    </r>
  </si>
  <si>
    <r>
      <t>P23=</t>
    </r>
    <r>
      <rPr>
        <sz val="12"/>
        <color theme="1"/>
        <rFont val="微軟正黑體"/>
        <family val="2"/>
        <charset val="136"/>
      </rPr>
      <t>週轉金－證券</t>
    </r>
  </si>
  <si>
    <r>
      <t>P24=</t>
    </r>
    <r>
      <rPr>
        <sz val="12"/>
        <color theme="1"/>
        <rFont val="微軟正黑體"/>
        <family val="2"/>
        <charset val="136"/>
      </rPr>
      <t>不動產副擔保</t>
    </r>
  </si>
  <si>
    <r>
      <t>P25=</t>
    </r>
    <r>
      <rPr>
        <sz val="12"/>
        <color theme="1"/>
        <rFont val="微軟正黑體"/>
        <family val="2"/>
        <charset val="136"/>
      </rPr>
      <t>實券股票副擔保</t>
    </r>
  </si>
  <si>
    <r>
      <t>P26=</t>
    </r>
    <r>
      <rPr>
        <sz val="12"/>
        <color theme="1"/>
        <rFont val="微軟正黑體"/>
        <family val="2"/>
        <charset val="136"/>
      </rPr>
      <t>集保股票副擔保</t>
    </r>
  </si>
  <si>
    <r>
      <t>P27=</t>
    </r>
    <r>
      <rPr>
        <sz val="12"/>
        <color theme="1"/>
        <rFont val="微軟正黑體"/>
        <family val="2"/>
        <charset val="136"/>
      </rPr>
      <t>土地副擔保</t>
    </r>
  </si>
  <si>
    <r>
      <t>P28=</t>
    </r>
    <r>
      <rPr>
        <sz val="12"/>
        <color theme="1"/>
        <rFont val="微軟正黑體"/>
        <family val="2"/>
        <charset val="136"/>
      </rPr>
      <t>存單副擔保</t>
    </r>
  </si>
  <si>
    <r>
      <t>P29=</t>
    </r>
    <r>
      <rPr>
        <sz val="12"/>
        <color theme="1"/>
        <rFont val="微軟正黑體"/>
        <family val="2"/>
        <charset val="136"/>
      </rPr>
      <t>客票副擔保</t>
    </r>
  </si>
  <si>
    <r>
      <t>P30=</t>
    </r>
    <r>
      <rPr>
        <sz val="12"/>
        <color theme="1"/>
        <rFont val="微軟正黑體"/>
        <family val="2"/>
        <charset val="136"/>
      </rPr>
      <t>其他副擔保</t>
    </r>
  </si>
  <si>
    <r>
      <t>P31=</t>
    </r>
    <r>
      <rPr>
        <sz val="12"/>
        <color theme="1"/>
        <rFont val="微軟正黑體"/>
        <family val="2"/>
        <charset val="136"/>
      </rPr>
      <t>即時現金卡</t>
    </r>
  </si>
  <si>
    <r>
      <t>P32=</t>
    </r>
    <r>
      <rPr>
        <sz val="12"/>
        <color theme="1"/>
        <rFont val="微軟正黑體"/>
        <family val="2"/>
        <charset val="136"/>
      </rPr>
      <t>勞工修繕貸款</t>
    </r>
  </si>
  <si>
    <r>
      <t>P33=</t>
    </r>
    <r>
      <rPr>
        <sz val="12"/>
        <color theme="1"/>
        <rFont val="微軟正黑體"/>
        <family val="2"/>
        <charset val="136"/>
      </rPr>
      <t>原住民修繕貸款</t>
    </r>
  </si>
  <si>
    <r>
      <t>P34=</t>
    </r>
    <r>
      <rPr>
        <sz val="12"/>
        <color theme="1"/>
        <rFont val="微軟正黑體"/>
        <family val="2"/>
        <charset val="136"/>
      </rPr>
      <t>建築融資貸款</t>
    </r>
  </si>
  <si>
    <r>
      <t>P35=</t>
    </r>
    <r>
      <rPr>
        <sz val="12"/>
        <color theme="1"/>
        <rFont val="微軟正黑體"/>
        <family val="2"/>
        <charset val="136"/>
      </rPr>
      <t>員工認股或可轉債貸款</t>
    </r>
  </si>
  <si>
    <r>
      <t>P36=</t>
    </r>
    <r>
      <rPr>
        <sz val="12"/>
        <color theme="1"/>
        <rFont val="微軟正黑體"/>
        <family val="2"/>
        <charset val="136"/>
      </rPr>
      <t>壽險房貸</t>
    </r>
  </si>
  <si>
    <r>
      <t>P37=</t>
    </r>
    <r>
      <rPr>
        <sz val="12"/>
        <color theme="1"/>
        <rFont val="微軟正黑體"/>
        <family val="2"/>
        <charset val="136"/>
      </rPr>
      <t>機器設備</t>
    </r>
  </si>
  <si>
    <r>
      <t>P38=</t>
    </r>
    <r>
      <rPr>
        <sz val="12"/>
        <color theme="1"/>
        <rFont val="微軟正黑體"/>
        <family val="2"/>
        <charset val="136"/>
      </rPr>
      <t>機器設備副擔保</t>
    </r>
  </si>
  <si>
    <r>
      <t>001=</t>
    </r>
    <r>
      <rPr>
        <sz val="12"/>
        <color theme="1"/>
        <rFont val="微軟正黑體"/>
        <family val="2"/>
        <charset val="136"/>
      </rPr>
      <t>建築業週轉金貸款</t>
    </r>
  </si>
  <si>
    <r>
      <t>002=</t>
    </r>
    <r>
      <rPr>
        <sz val="12"/>
        <color theme="1"/>
        <rFont val="微軟正黑體"/>
        <family val="2"/>
        <charset val="136"/>
      </rPr>
      <t>其他</t>
    </r>
  </si>
  <si>
    <r>
      <t>003=</t>
    </r>
    <r>
      <rPr>
        <sz val="12"/>
        <color theme="1"/>
        <rFont val="微軟正黑體"/>
        <family val="2"/>
        <charset val="136"/>
      </rPr>
      <t>房屋修繕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含裝潢</t>
    </r>
    <r>
      <rPr>
        <sz val="12"/>
        <color theme="1"/>
        <rFont val="Calibri"/>
        <family val="2"/>
      </rPr>
      <t>)</t>
    </r>
  </si>
  <si>
    <r>
      <t>004=</t>
    </r>
    <r>
      <rPr>
        <sz val="12"/>
        <color theme="1"/>
        <rFont val="微軟正黑體"/>
        <family val="2"/>
        <charset val="136"/>
      </rPr>
      <t>汽車貸款</t>
    </r>
  </si>
  <si>
    <r>
      <t>005=</t>
    </r>
    <r>
      <rPr>
        <sz val="12"/>
        <color theme="1"/>
        <rFont val="微軟正黑體"/>
        <family val="2"/>
        <charset val="136"/>
      </rPr>
      <t>機關團體職工福利貸款</t>
    </r>
  </si>
  <si>
    <r>
      <t>006=</t>
    </r>
    <r>
      <rPr>
        <sz val="12"/>
        <color theme="1"/>
        <rFont val="微軟正黑體"/>
        <family val="2"/>
        <charset val="136"/>
      </rPr>
      <t>其他個人消費性貸款</t>
    </r>
  </si>
  <si>
    <r>
      <t>007=</t>
    </r>
    <r>
      <rPr>
        <sz val="12"/>
        <color theme="1"/>
        <rFont val="微軟正黑體"/>
        <family val="2"/>
        <charset val="136"/>
      </rPr>
      <t>家庭週轉金</t>
    </r>
  </si>
  <si>
    <r>
      <t>008=</t>
    </r>
    <r>
      <rPr>
        <sz val="12"/>
        <color theme="1"/>
        <rFont val="微軟正黑體"/>
        <family val="2"/>
        <charset val="136"/>
      </rPr>
      <t>個人投資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理財</t>
    </r>
  </si>
  <si>
    <r>
      <t>009=</t>
    </r>
    <r>
      <rPr>
        <sz val="12"/>
        <color theme="1"/>
        <rFont val="微軟正黑體"/>
        <family val="2"/>
        <charset val="136"/>
      </rPr>
      <t>個人投資</t>
    </r>
  </si>
  <si>
    <r>
      <t>010=</t>
    </r>
    <r>
      <rPr>
        <sz val="12"/>
        <color theme="1"/>
        <rFont val="微軟正黑體"/>
        <family val="2"/>
        <charset val="136"/>
      </rPr>
      <t>無自用住宅購屋貸款</t>
    </r>
  </si>
  <si>
    <r>
      <t>011=</t>
    </r>
    <r>
      <rPr>
        <sz val="12"/>
        <color theme="1"/>
        <rFont val="微軟正黑體"/>
        <family val="2"/>
        <charset val="136"/>
      </rPr>
      <t>第一次抵押購屋貸款</t>
    </r>
  </si>
  <si>
    <r>
      <t>012=</t>
    </r>
    <r>
      <rPr>
        <sz val="12"/>
        <color theme="1"/>
        <rFont val="微軟正黑體"/>
        <family val="2"/>
        <charset val="136"/>
      </rPr>
      <t>其他購屋貸款</t>
    </r>
  </si>
  <si>
    <r>
      <t>013=</t>
    </r>
    <r>
      <rPr>
        <sz val="12"/>
        <color theme="1"/>
        <rFont val="微軟正黑體"/>
        <family val="2"/>
        <charset val="136"/>
      </rPr>
      <t>購屋儲蓄貸款</t>
    </r>
  </si>
  <si>
    <r>
      <t>014=</t>
    </r>
    <r>
      <rPr>
        <sz val="12"/>
        <color theme="1"/>
        <rFont val="微軟正黑體"/>
        <family val="2"/>
        <charset val="136"/>
      </rPr>
      <t>輕鬆成家購屋貸款</t>
    </r>
  </si>
  <si>
    <r>
      <t>015=</t>
    </r>
    <r>
      <rPr>
        <sz val="12"/>
        <color theme="1"/>
        <rFont val="微軟正黑體"/>
        <family val="2"/>
        <charset val="136"/>
      </rPr>
      <t>其他不動產擔保貸款</t>
    </r>
  </si>
  <si>
    <r>
      <t>016=</t>
    </r>
    <r>
      <rPr>
        <sz val="12"/>
        <color theme="1"/>
        <rFont val="微軟正黑體"/>
        <family val="2"/>
        <charset val="136"/>
      </rPr>
      <t>一般購屋貸款</t>
    </r>
  </si>
  <si>
    <r>
      <t>017=</t>
    </r>
    <r>
      <rPr>
        <sz val="12"/>
        <color theme="1"/>
        <rFont val="微軟正黑體"/>
        <family val="2"/>
        <charset val="136"/>
      </rPr>
      <t>土地融資</t>
    </r>
  </si>
  <si>
    <r>
      <t>018=</t>
    </r>
    <r>
      <rPr>
        <sz val="12"/>
        <color theme="1"/>
        <rFont val="微軟正黑體"/>
        <family val="2"/>
        <charset val="136"/>
      </rPr>
      <t>營建融資</t>
    </r>
  </si>
  <si>
    <r>
      <t>019=</t>
    </r>
    <r>
      <rPr>
        <sz val="12"/>
        <color theme="1"/>
        <rFont val="微軟正黑體"/>
        <family val="2"/>
        <charset val="136"/>
      </rPr>
      <t>購買房貸壽險</t>
    </r>
  </si>
  <si>
    <r>
      <t>020=</t>
    </r>
    <r>
      <rPr>
        <sz val="12"/>
        <color theme="1"/>
        <rFont val="微軟正黑體"/>
        <family val="2"/>
        <charset val="136"/>
      </rPr>
      <t>展期</t>
    </r>
  </si>
  <si>
    <r>
      <t>021=</t>
    </r>
    <r>
      <rPr>
        <sz val="12"/>
        <color theme="1"/>
        <rFont val="微軟正黑體"/>
        <family val="2"/>
        <charset val="136"/>
      </rPr>
      <t>借新還舊</t>
    </r>
  </si>
  <si>
    <r>
      <t>022=</t>
    </r>
    <r>
      <rPr>
        <sz val="12"/>
        <color theme="1"/>
        <rFont val="微軟正黑體"/>
        <family val="2"/>
        <charset val="136"/>
      </rPr>
      <t>信用瑕疵轉換產品</t>
    </r>
  </si>
  <si>
    <r>
      <t>023=</t>
    </r>
    <r>
      <rPr>
        <sz val="12"/>
        <color theme="1"/>
        <rFont val="微軟正黑體"/>
        <family val="2"/>
        <charset val="136"/>
      </rPr>
      <t>協議後轉換產品</t>
    </r>
  </si>
  <si>
    <r>
      <t>024=</t>
    </r>
    <r>
      <rPr>
        <sz val="12"/>
        <color theme="1"/>
        <rFont val="微軟正黑體"/>
        <family val="2"/>
        <charset val="136"/>
      </rPr>
      <t>變更車行</t>
    </r>
  </si>
  <si>
    <r>
      <t>025=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他行轉貸件</t>
    </r>
    <r>
      <rPr>
        <sz val="12"/>
        <color theme="1"/>
        <rFont val="Calibri"/>
        <family val="2"/>
      </rPr>
      <t>)</t>
    </r>
  </si>
  <si>
    <r>
      <t>026=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原資金用途購屋</t>
    </r>
    <r>
      <rPr>
        <sz val="12"/>
        <color theme="1"/>
        <rFont val="Calibri"/>
        <family val="2"/>
      </rPr>
      <t>)</t>
    </r>
  </si>
  <si>
    <r>
      <t>027=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原資金用途非購屋</t>
    </r>
    <r>
      <rPr>
        <sz val="12"/>
        <color theme="1"/>
        <rFont val="Calibri"/>
        <family val="2"/>
      </rPr>
      <t>)</t>
    </r>
  </si>
  <si>
    <r>
      <t>028=</t>
    </r>
    <r>
      <rPr>
        <sz val="12"/>
        <color theme="1"/>
        <rFont val="微軟正黑體"/>
        <family val="2"/>
        <charset val="136"/>
      </rPr>
      <t>家庭週轉金</t>
    </r>
  </si>
  <si>
    <r>
      <t>029=</t>
    </r>
    <r>
      <rPr>
        <sz val="12"/>
        <color theme="1"/>
        <rFont val="微軟正黑體"/>
        <family val="2"/>
        <charset val="136"/>
      </rPr>
      <t>其他消費性支出</t>
    </r>
  </si>
  <si>
    <r>
      <t>030=</t>
    </r>
    <r>
      <rPr>
        <sz val="12"/>
        <color theme="1"/>
        <rFont val="微軟正黑體"/>
        <family val="2"/>
        <charset val="136"/>
      </rPr>
      <t>購屋修繕</t>
    </r>
  </si>
  <si>
    <r>
      <t>031=</t>
    </r>
    <r>
      <rPr>
        <sz val="12"/>
        <color theme="1"/>
        <rFont val="微軟正黑體"/>
        <family val="2"/>
        <charset val="136"/>
      </rPr>
      <t>購買汽車</t>
    </r>
  </si>
  <si>
    <r>
      <t>032=</t>
    </r>
    <r>
      <rPr>
        <sz val="12"/>
        <color theme="1"/>
        <rFont val="微軟正黑體"/>
        <family val="2"/>
        <charset val="136"/>
      </rPr>
      <t>清償前貸款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原資金用途購置動產</t>
    </r>
    <r>
      <rPr>
        <sz val="12"/>
        <color theme="1"/>
        <rFont val="Calibri"/>
        <family val="2"/>
      </rPr>
      <t>)</t>
    </r>
  </si>
  <si>
    <r>
      <t>033=</t>
    </r>
    <r>
      <rPr>
        <sz val="12"/>
        <color theme="1"/>
        <rFont val="微軟正黑體"/>
        <family val="2"/>
        <charset val="136"/>
      </rPr>
      <t>購置土地</t>
    </r>
  </si>
  <si>
    <r>
      <t>034=</t>
    </r>
    <r>
      <rPr>
        <sz val="12"/>
        <color theme="1"/>
        <rFont val="微軟正黑體"/>
        <family val="2"/>
        <charset val="136"/>
      </rPr>
      <t>營運週轉金</t>
    </r>
  </si>
  <si>
    <r>
      <t>035=</t>
    </r>
    <r>
      <rPr>
        <sz val="12"/>
        <color theme="1"/>
        <rFont val="微軟正黑體"/>
        <family val="2"/>
        <charset val="136"/>
      </rPr>
      <t>購置機器設備</t>
    </r>
  </si>
  <si>
    <r>
      <t>036=</t>
    </r>
    <r>
      <rPr>
        <sz val="12"/>
        <color theme="1"/>
        <rFont val="微軟正黑體"/>
        <family val="2"/>
        <charset val="136"/>
      </rPr>
      <t>興建或購置免計入</t>
    </r>
    <r>
      <rPr>
        <sz val="12"/>
        <color theme="1"/>
        <rFont val="Calibri"/>
        <family val="2"/>
      </rPr>
      <t>72-2</t>
    </r>
    <r>
      <rPr>
        <sz val="12"/>
        <color theme="1"/>
        <rFont val="微軟正黑體"/>
        <family val="2"/>
        <charset val="136"/>
      </rPr>
      <t>之廠房</t>
    </r>
  </si>
  <si>
    <r>
      <t>037=</t>
    </r>
    <r>
      <rPr>
        <sz val="12"/>
        <color theme="1"/>
        <rFont val="微軟正黑體"/>
        <family val="2"/>
        <charset val="136"/>
      </rPr>
      <t>躉繳型定期壽險保費貸款</t>
    </r>
  </si>
  <si>
    <r>
      <t>038=</t>
    </r>
    <r>
      <rPr>
        <sz val="12"/>
        <color theme="1"/>
        <rFont val="微軟正黑體"/>
        <family val="2"/>
        <charset val="136"/>
      </rPr>
      <t>購置不動產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住宅用</t>
    </r>
  </si>
  <si>
    <r>
      <t>039=</t>
    </r>
    <r>
      <rPr>
        <sz val="12"/>
        <color theme="1"/>
        <rFont val="微軟正黑體"/>
        <family val="2"/>
        <charset val="136"/>
      </rPr>
      <t>購置不動產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非住宅用</t>
    </r>
  </si>
  <si>
    <r>
      <t>040=</t>
    </r>
    <r>
      <rPr>
        <sz val="12"/>
        <color theme="1"/>
        <rFont val="微軟正黑體"/>
        <family val="2"/>
        <charset val="136"/>
      </rPr>
      <t>興建或購置免計入</t>
    </r>
    <r>
      <rPr>
        <sz val="12"/>
        <color theme="1"/>
        <rFont val="Calibri"/>
        <family val="2"/>
      </rPr>
      <t>72-2</t>
    </r>
    <r>
      <rPr>
        <sz val="12"/>
        <color theme="1"/>
        <rFont val="微軟正黑體"/>
        <family val="2"/>
        <charset val="136"/>
      </rPr>
      <t>之醫療機構</t>
    </r>
  </si>
  <si>
    <r>
      <t>041=</t>
    </r>
    <r>
      <rPr>
        <sz val="12"/>
        <color theme="1"/>
        <rFont val="微軟正黑體"/>
        <family val="2"/>
        <charset val="136"/>
      </rPr>
      <t>企業員工認購股票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或可轉換公司債</t>
    </r>
    <r>
      <rPr>
        <sz val="12"/>
        <color theme="1"/>
        <rFont val="Calibri"/>
        <family val="2"/>
      </rPr>
      <t>)</t>
    </r>
  </si>
  <si>
    <r>
      <t>C000=</t>
    </r>
    <r>
      <rPr>
        <sz val="12"/>
        <color theme="1"/>
        <rFont val="微軟正黑體"/>
        <family val="2"/>
        <charset val="136"/>
      </rPr>
      <t>無</t>
    </r>
  </si>
  <si>
    <r>
      <t>C001=</t>
    </r>
    <r>
      <rPr>
        <sz val="12"/>
        <color theme="1"/>
        <rFont val="微軟正黑體"/>
        <family val="2"/>
        <charset val="136"/>
      </rPr>
      <t>匯豐汽車附買回專案</t>
    </r>
  </si>
  <si>
    <r>
      <t>C002=</t>
    </r>
    <r>
      <rPr>
        <sz val="12"/>
        <color theme="1"/>
        <rFont val="微軟正黑體"/>
        <family val="2"/>
        <charset val="136"/>
      </rPr>
      <t>和潤車貸</t>
    </r>
  </si>
  <si>
    <r>
      <t>C003=</t>
    </r>
    <r>
      <rPr>
        <sz val="12"/>
        <color theme="1"/>
        <rFont val="微軟正黑體"/>
        <family val="2"/>
        <charset val="136"/>
      </rPr>
      <t>財資車貸</t>
    </r>
  </si>
  <si>
    <r>
      <t>C004=</t>
    </r>
    <r>
      <rPr>
        <sz val="12"/>
        <color theme="1"/>
        <rFont val="微軟正黑體"/>
        <family val="2"/>
        <charset val="136"/>
      </rPr>
      <t>財將車貸</t>
    </r>
  </si>
  <si>
    <r>
      <t>C005=</t>
    </r>
    <r>
      <rPr>
        <sz val="12"/>
        <color theme="1"/>
        <rFont val="微軟正黑體"/>
        <family val="2"/>
        <charset val="136"/>
      </rPr>
      <t>太古專案</t>
    </r>
  </si>
  <si>
    <r>
      <t>C006=</t>
    </r>
    <r>
      <rPr>
        <sz val="12"/>
        <color theme="1"/>
        <rFont val="微軟正黑體"/>
        <family val="2"/>
        <charset val="136"/>
      </rPr>
      <t>環保署換購大型柴油車貸款利息補助</t>
    </r>
  </si>
  <si>
    <r>
      <t>M000=</t>
    </r>
    <r>
      <rPr>
        <sz val="12"/>
        <color theme="1"/>
        <rFont val="微軟正黑體"/>
        <family val="2"/>
        <charset val="136"/>
      </rPr>
      <t>無</t>
    </r>
  </si>
  <si>
    <r>
      <t>M001=</t>
    </r>
    <r>
      <rPr>
        <sz val="12"/>
        <color theme="1"/>
        <rFont val="微軟正黑體"/>
        <family val="2"/>
        <charset val="136"/>
      </rPr>
      <t>轉貸回饋金優惠專案</t>
    </r>
  </si>
  <si>
    <r>
      <t>M002=</t>
    </r>
    <r>
      <rPr>
        <sz val="12"/>
        <color theme="1"/>
        <rFont val="微軟正黑體"/>
        <family val="2"/>
        <charset val="136"/>
      </rPr>
      <t>買賣安家優惠專案</t>
    </r>
  </si>
  <si>
    <r>
      <t>M003=</t>
    </r>
    <r>
      <rPr>
        <sz val="12"/>
        <color theme="1"/>
        <rFont val="微軟正黑體"/>
        <family val="2"/>
        <charset val="136"/>
      </rPr>
      <t>文心大三元專案</t>
    </r>
  </si>
  <si>
    <r>
      <t>M004=MMA</t>
    </r>
    <r>
      <rPr>
        <sz val="12"/>
        <color theme="1"/>
        <rFont val="微軟正黑體"/>
        <family val="2"/>
        <charset val="136"/>
      </rPr>
      <t>轉運貸</t>
    </r>
  </si>
  <si>
    <r>
      <t>M005=</t>
    </r>
    <r>
      <rPr>
        <sz val="12"/>
        <color theme="1"/>
        <rFont val="微軟正黑體"/>
        <family val="2"/>
        <charset val="136"/>
      </rPr>
      <t>優質客戶雙享貸</t>
    </r>
  </si>
  <si>
    <r>
      <t>M006=</t>
    </r>
    <r>
      <rPr>
        <sz val="12"/>
        <color theme="1"/>
        <rFont val="微軟正黑體"/>
        <family val="2"/>
        <charset val="136"/>
      </rPr>
      <t>新殼族貸款（無自用住宅）</t>
    </r>
  </si>
  <si>
    <r>
      <t>M007=</t>
    </r>
    <r>
      <rPr>
        <sz val="12"/>
        <color theme="1"/>
        <rFont val="微軟正黑體"/>
        <family val="2"/>
        <charset val="136"/>
      </rPr>
      <t>搶親專案（改制週年慶低利房貸）</t>
    </r>
  </si>
  <si>
    <r>
      <t>M008=</t>
    </r>
    <r>
      <rPr>
        <sz val="12"/>
        <color theme="1"/>
        <rFont val="微軟正黑體"/>
        <family val="2"/>
        <charset val="136"/>
      </rPr>
      <t>回復型綜合房貸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人工移轉額度</t>
    </r>
  </si>
  <si>
    <r>
      <t>M009=</t>
    </r>
    <r>
      <rPr>
        <sz val="12"/>
        <color theme="1"/>
        <rFont val="微軟正黑體"/>
        <family val="2"/>
        <charset val="136"/>
      </rPr>
      <t>五十週年首次購屋貸款（具提前還款違約金條款）</t>
    </r>
  </si>
  <si>
    <r>
      <t>M010=</t>
    </r>
    <r>
      <rPr>
        <sz val="12"/>
        <color theme="1"/>
        <rFont val="微軟正黑體"/>
        <family val="2"/>
        <charset val="136"/>
      </rPr>
      <t>央行本人無自用住宅貸款（不補貼差息）</t>
    </r>
  </si>
  <si>
    <r>
      <t>M011=</t>
    </r>
    <r>
      <rPr>
        <sz val="12"/>
        <color theme="1"/>
        <rFont val="微軟正黑體"/>
        <family val="2"/>
        <charset val="136"/>
      </rPr>
      <t>無尾熊貸款（具提前還款違約金條款）</t>
    </r>
  </si>
  <si>
    <r>
      <t>M012=</t>
    </r>
    <r>
      <rPr>
        <sz val="12"/>
        <color theme="1"/>
        <rFont val="微軟正黑體"/>
        <family val="2"/>
        <charset val="136"/>
      </rPr>
      <t>九二一融資專案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購屋貸款</t>
    </r>
    <r>
      <rPr>
        <sz val="12"/>
        <color theme="1"/>
        <rFont val="Calibri"/>
        <family val="2"/>
      </rPr>
      <t>)</t>
    </r>
  </si>
  <si>
    <r>
      <t>M013=</t>
    </r>
    <r>
      <rPr>
        <sz val="12"/>
        <color theme="1"/>
        <rFont val="微軟正黑體"/>
        <family val="2"/>
        <charset val="136"/>
      </rPr>
      <t>九二一融資專案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重建貸款</t>
    </r>
    <r>
      <rPr>
        <sz val="12"/>
        <color theme="1"/>
        <rFont val="Calibri"/>
        <family val="2"/>
      </rPr>
      <t>)</t>
    </r>
  </si>
  <si>
    <r>
      <t>M014=</t>
    </r>
    <r>
      <rPr>
        <sz val="12"/>
        <color theme="1"/>
        <rFont val="微軟正黑體"/>
        <family val="2"/>
        <charset val="136"/>
      </rPr>
      <t>６</t>
    </r>
    <r>
      <rPr>
        <sz val="12"/>
        <color theme="1"/>
        <rFont val="Calibri"/>
        <family val="2"/>
      </rPr>
      <t>.</t>
    </r>
    <r>
      <rPr>
        <sz val="12"/>
        <color theme="1"/>
        <rFont val="微軟正黑體"/>
        <family val="2"/>
        <charset val="136"/>
      </rPr>
      <t>４９購屋優惠專案</t>
    </r>
  </si>
  <si>
    <r>
      <t>M015=</t>
    </r>
    <r>
      <rPr>
        <sz val="12"/>
        <color theme="1"/>
        <rFont val="微軟正黑體"/>
        <family val="2"/>
        <charset val="136"/>
      </rPr>
      <t>改制週年慶６</t>
    </r>
    <r>
      <rPr>
        <sz val="12"/>
        <color theme="1"/>
        <rFont val="Calibri"/>
        <family val="2"/>
      </rPr>
      <t>.</t>
    </r>
    <r>
      <rPr>
        <sz val="12"/>
        <color theme="1"/>
        <rFont val="微軟正黑體"/>
        <family val="2"/>
        <charset val="136"/>
      </rPr>
      <t>６６房貸專案</t>
    </r>
  </si>
  <si>
    <r>
      <t>M016=</t>
    </r>
    <r>
      <rPr>
        <sz val="12"/>
        <color theme="1"/>
        <rFont val="微軟正黑體"/>
        <family val="2"/>
        <charset val="136"/>
      </rPr>
      <t>青年優惠房屋信用保證貸款</t>
    </r>
  </si>
  <si>
    <r>
      <t>M017=</t>
    </r>
    <r>
      <rPr>
        <sz val="12"/>
        <color theme="1"/>
        <rFont val="微軟正黑體"/>
        <family val="2"/>
        <charset val="136"/>
      </rPr>
      <t>新世貸（一般房貸）</t>
    </r>
  </si>
  <si>
    <r>
      <t>M018=</t>
    </r>
    <r>
      <rPr>
        <sz val="12"/>
        <color theme="1"/>
        <rFont val="微軟正黑體"/>
        <family val="2"/>
        <charset val="136"/>
      </rPr>
      <t>新世貸（首購房貸）</t>
    </r>
  </si>
  <si>
    <r>
      <t>M019=</t>
    </r>
    <r>
      <rPr>
        <sz val="12"/>
        <color theme="1"/>
        <rFont val="微軟正黑體"/>
        <family val="2"/>
        <charset val="136"/>
      </rPr>
      <t>北市公教人員貸款（不補貼）</t>
    </r>
  </si>
  <si>
    <r>
      <t>M020=</t>
    </r>
    <r>
      <rPr>
        <sz val="12"/>
        <color theme="1"/>
        <rFont val="微軟正黑體"/>
        <family val="2"/>
        <charset val="136"/>
      </rPr>
      <t>小商戶週轉金貸款</t>
    </r>
  </si>
  <si>
    <r>
      <t>M021=</t>
    </r>
    <r>
      <rPr>
        <sz val="12"/>
        <color theme="1"/>
        <rFont val="微軟正黑體"/>
        <family val="2"/>
        <charset val="136"/>
      </rPr>
      <t>家值貸</t>
    </r>
  </si>
  <si>
    <r>
      <t>M022=</t>
    </r>
    <r>
      <rPr>
        <sz val="12"/>
        <color theme="1"/>
        <rFont val="微軟正黑體"/>
        <family val="2"/>
        <charset val="136"/>
      </rPr>
      <t>民宿貸款</t>
    </r>
  </si>
  <si>
    <r>
      <t>M023=</t>
    </r>
    <r>
      <rPr>
        <sz val="12"/>
        <color theme="1"/>
        <rFont val="微軟正黑體"/>
        <family val="2"/>
        <charset val="136"/>
      </rPr>
      <t>壽險貸款</t>
    </r>
  </si>
  <si>
    <r>
      <t>M024=</t>
    </r>
    <r>
      <rPr>
        <sz val="12"/>
        <color theme="1"/>
        <rFont val="微軟正黑體"/>
        <family val="2"/>
        <charset val="136"/>
      </rPr>
      <t>宅急貸</t>
    </r>
  </si>
  <si>
    <r>
      <t>M025=</t>
    </r>
    <r>
      <rPr>
        <sz val="12"/>
        <color theme="1"/>
        <rFont val="微軟正黑體"/>
        <family val="2"/>
        <charset val="136"/>
      </rPr>
      <t>菁英貸</t>
    </r>
  </si>
  <si>
    <r>
      <t>M026=</t>
    </r>
    <r>
      <rPr>
        <sz val="12"/>
        <color theme="1"/>
        <rFont val="微軟正黑體"/>
        <family val="2"/>
        <charset val="136"/>
      </rPr>
      <t>一般金融卡</t>
    </r>
  </si>
  <si>
    <r>
      <t>M027=</t>
    </r>
    <r>
      <rPr>
        <sz val="12"/>
        <color theme="1"/>
        <rFont val="微軟正黑體"/>
        <family val="2"/>
        <charset val="136"/>
      </rPr>
      <t>支存透支</t>
    </r>
  </si>
  <si>
    <r>
      <t>M028=</t>
    </r>
    <r>
      <rPr>
        <sz val="12"/>
        <color theme="1"/>
        <rFont val="微軟正黑體"/>
        <family val="2"/>
        <charset val="136"/>
      </rPr>
      <t>青年創業輔導貸款</t>
    </r>
  </si>
  <si>
    <r>
      <t>M029=</t>
    </r>
    <r>
      <rPr>
        <sz val="12"/>
        <color theme="1"/>
        <rFont val="微軟正黑體"/>
        <family val="2"/>
        <charset val="136"/>
      </rPr>
      <t>微型企業創業貸款</t>
    </r>
  </si>
  <si>
    <r>
      <t>M030=</t>
    </r>
    <r>
      <rPr>
        <sz val="12"/>
        <color theme="1"/>
        <rFont val="微軟正黑體"/>
        <family val="2"/>
        <charset val="136"/>
      </rPr>
      <t>一率到底優惠專案</t>
    </r>
  </si>
  <si>
    <r>
      <t>M031=</t>
    </r>
    <r>
      <rPr>
        <sz val="12"/>
        <color theme="1"/>
        <rFont val="微軟正黑體"/>
        <family val="2"/>
        <charset val="136"/>
      </rPr>
      <t>優質目標客戶</t>
    </r>
  </si>
  <si>
    <r>
      <t>M032=</t>
    </r>
    <r>
      <rPr>
        <sz val="12"/>
        <color theme="1"/>
        <rFont val="微軟正黑體"/>
        <family val="2"/>
        <charset val="136"/>
      </rPr>
      <t>法拍屋貸款</t>
    </r>
  </si>
  <si>
    <r>
      <t>M033=MMA</t>
    </r>
    <r>
      <rPr>
        <sz val="12"/>
        <color theme="1"/>
        <rFont val="微軟正黑體"/>
        <family val="2"/>
        <charset val="136"/>
      </rPr>
      <t>宅世貸</t>
    </r>
  </si>
  <si>
    <r>
      <t>M034=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新客戶</t>
    </r>
    <r>
      <rPr>
        <sz val="12"/>
        <color theme="1"/>
        <rFont val="Calibri"/>
        <family val="2"/>
      </rPr>
      <t>)</t>
    </r>
  </si>
  <si>
    <r>
      <t>M035=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新客戶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一率到底</t>
    </r>
  </si>
  <si>
    <r>
      <t>M036=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</t>
    </r>
    <r>
      <rPr>
        <sz val="12"/>
        <color theme="1"/>
        <rFont val="Calibri"/>
        <family val="2"/>
      </rPr>
      <t>)</t>
    </r>
  </si>
  <si>
    <r>
      <t>M037=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一率到底</t>
    </r>
  </si>
  <si>
    <r>
      <t>M038=</t>
    </r>
    <r>
      <rPr>
        <sz val="12"/>
        <color theme="1"/>
        <rFont val="微軟正黑體"/>
        <family val="2"/>
        <charset val="136"/>
      </rPr>
      <t>太陽光電設備</t>
    </r>
  </si>
  <si>
    <r>
      <t>M039=</t>
    </r>
    <r>
      <rPr>
        <sz val="12"/>
        <color theme="1"/>
        <rFont val="微軟正黑體"/>
        <family val="2"/>
        <charset val="136"/>
      </rPr>
      <t>保費融資（新客戶）</t>
    </r>
  </si>
  <si>
    <r>
      <t>M040=</t>
    </r>
    <r>
      <rPr>
        <sz val="12"/>
        <color theme="1"/>
        <rFont val="微軟正黑體"/>
        <family val="2"/>
        <charset val="136"/>
      </rPr>
      <t>保費融資（新客戶）一率到底</t>
    </r>
  </si>
  <si>
    <r>
      <t>M041=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</si>
  <si>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M042=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有設定）ㄧ率到底</t>
    </r>
  </si>
  <si>
    <r>
      <t>M043=</t>
    </r>
    <r>
      <rPr>
        <sz val="12"/>
        <color theme="1"/>
        <rFont val="微軟正黑體"/>
        <family val="2"/>
        <charset val="136"/>
      </rPr>
      <t>減息方案</t>
    </r>
  </si>
  <si>
    <r>
      <t>M044=AUM</t>
    </r>
    <r>
      <rPr>
        <sz val="12"/>
        <color theme="1"/>
        <rFont val="微軟正黑體"/>
        <family val="2"/>
        <charset val="136"/>
      </rPr>
      <t>連結房貸專案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既有客戶</t>
    </r>
    <r>
      <rPr>
        <sz val="12"/>
        <color theme="1"/>
        <rFont val="Calibri"/>
        <family val="2"/>
      </rPr>
      <t>)</t>
    </r>
  </si>
  <si>
    <r>
      <t>M045=</t>
    </r>
    <r>
      <rPr>
        <sz val="12"/>
        <color theme="1"/>
        <rFont val="微軟正黑體"/>
        <family val="2"/>
        <charset val="136"/>
      </rPr>
      <t>線上實時增貸</t>
    </r>
  </si>
  <si>
    <r>
      <t>P000=</t>
    </r>
    <r>
      <rPr>
        <sz val="12"/>
        <color theme="1"/>
        <rFont val="微軟正黑體"/>
        <family val="2"/>
        <charset val="136"/>
      </rPr>
      <t>無</t>
    </r>
  </si>
  <si>
    <r>
      <t>P001=MMA</t>
    </r>
    <r>
      <rPr>
        <sz val="12"/>
        <color theme="1"/>
        <rFont val="微軟正黑體"/>
        <family val="2"/>
        <charset val="136"/>
      </rPr>
      <t>理財金</t>
    </r>
  </si>
  <si>
    <r>
      <t>P002=</t>
    </r>
    <r>
      <rPr>
        <sz val="12"/>
        <color theme="1"/>
        <rFont val="微軟正黑體"/>
        <family val="2"/>
        <charset val="136"/>
      </rPr>
      <t>優質客戶信貸</t>
    </r>
  </si>
  <si>
    <r>
      <t>P003=DAC SML</t>
    </r>
    <r>
      <rPr>
        <sz val="12"/>
        <color theme="1"/>
        <rFont val="微軟正黑體"/>
        <family val="2"/>
        <charset val="136"/>
      </rPr>
      <t>測試</t>
    </r>
  </si>
  <si>
    <r>
      <t>P004=MMA</t>
    </r>
    <r>
      <rPr>
        <sz val="12"/>
        <color theme="1"/>
        <rFont val="微軟正黑體"/>
        <family val="2"/>
        <charset val="136"/>
      </rPr>
      <t>理財便利金</t>
    </r>
  </si>
  <si>
    <r>
      <t>P005=MMA</t>
    </r>
    <r>
      <rPr>
        <sz val="12"/>
        <color theme="1"/>
        <rFont val="微軟正黑體"/>
        <family val="2"/>
        <charset val="136"/>
      </rPr>
      <t>周轉金</t>
    </r>
  </si>
  <si>
    <r>
      <t>P006=</t>
    </r>
    <r>
      <rPr>
        <sz val="12"/>
        <color theme="1"/>
        <rFont val="微軟正黑體"/>
        <family val="2"/>
        <charset val="136"/>
      </rPr>
      <t>力晶員工選擇權</t>
    </r>
  </si>
  <si>
    <r>
      <t>P007=</t>
    </r>
    <r>
      <rPr>
        <sz val="12"/>
        <color theme="1"/>
        <rFont val="微軟正黑體"/>
        <family val="2"/>
        <charset val="136"/>
      </rPr>
      <t>聯電員工選擇權</t>
    </r>
  </si>
  <si>
    <r>
      <t>P008=</t>
    </r>
    <r>
      <rPr>
        <sz val="12"/>
        <color theme="1"/>
        <rFont val="微軟正黑體"/>
        <family val="2"/>
        <charset val="136"/>
      </rPr>
      <t>中小企業主</t>
    </r>
  </si>
  <si>
    <r>
      <t>P009=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A</t>
    </r>
    <r>
      <rPr>
        <sz val="12"/>
        <color theme="1"/>
        <rFont val="微軟正黑體"/>
        <family val="2"/>
        <charset val="136"/>
      </rPr>
      <t>級</t>
    </r>
  </si>
  <si>
    <r>
      <t>P010=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B</t>
    </r>
    <r>
      <rPr>
        <sz val="12"/>
        <color theme="1"/>
        <rFont val="微軟正黑體"/>
        <family val="2"/>
        <charset val="136"/>
      </rPr>
      <t>級</t>
    </r>
  </si>
  <si>
    <r>
      <t>P011=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C</t>
    </r>
    <r>
      <rPr>
        <sz val="12"/>
        <color theme="1"/>
        <rFont val="微軟正黑體"/>
        <family val="2"/>
        <charset val="136"/>
      </rPr>
      <t>級</t>
    </r>
  </si>
  <si>
    <r>
      <t>P012=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D</t>
    </r>
    <r>
      <rPr>
        <sz val="12"/>
        <color theme="1"/>
        <rFont val="微軟正黑體"/>
        <family val="2"/>
        <charset val="136"/>
      </rPr>
      <t>級</t>
    </r>
  </si>
  <si>
    <r>
      <t>P013=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E</t>
    </r>
    <r>
      <rPr>
        <sz val="12"/>
        <color theme="1"/>
        <rFont val="微軟正黑體"/>
        <family val="2"/>
        <charset val="136"/>
      </rPr>
      <t>級</t>
    </r>
  </si>
  <si>
    <r>
      <t>P014=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</t>
    </r>
  </si>
  <si>
    <r>
      <t>P015=DAC SML</t>
    </r>
    <r>
      <rPr>
        <sz val="12"/>
        <color theme="1"/>
        <rFont val="微軟正黑體"/>
        <family val="2"/>
        <charset val="136"/>
      </rPr>
      <t>模組</t>
    </r>
  </si>
  <si>
    <r>
      <t>P016=MMA</t>
    </r>
    <r>
      <rPr>
        <sz val="12"/>
        <color theme="1"/>
        <rFont val="微軟正黑體"/>
        <family val="2"/>
        <charset val="136"/>
      </rPr>
      <t>轉運貸</t>
    </r>
  </si>
  <si>
    <r>
      <t>P017=</t>
    </r>
    <r>
      <rPr>
        <sz val="12"/>
        <color theme="1"/>
        <rFont val="微軟正黑體"/>
        <family val="2"/>
        <charset val="136"/>
      </rPr>
      <t>優質客戶雙享貸</t>
    </r>
  </si>
  <si>
    <r>
      <t>P018=DAC SML</t>
    </r>
    <r>
      <rPr>
        <sz val="12"/>
        <color theme="1"/>
        <rFont val="微軟正黑體"/>
        <family val="2"/>
        <charset val="136"/>
      </rPr>
      <t>分行端</t>
    </r>
  </si>
  <si>
    <r>
      <t>P019=</t>
    </r>
    <r>
      <rPr>
        <sz val="12"/>
        <color theme="1"/>
        <rFont val="微軟正黑體"/>
        <family val="2"/>
        <charset val="136"/>
      </rPr>
      <t>存款客戶信貸</t>
    </r>
  </si>
  <si>
    <r>
      <t>P020=MMA</t>
    </r>
    <r>
      <rPr>
        <sz val="12"/>
        <color theme="1"/>
        <rFont val="微軟正黑體"/>
        <family val="2"/>
        <charset val="136"/>
      </rPr>
      <t>輪轉金</t>
    </r>
  </si>
  <si>
    <r>
      <t>P021=</t>
    </r>
    <r>
      <rPr>
        <sz val="12"/>
        <color theme="1"/>
        <rFont val="微軟正黑體"/>
        <family val="2"/>
        <charset val="136"/>
      </rPr>
      <t>證券客戶信貸</t>
    </r>
  </si>
  <si>
    <r>
      <t>P022=</t>
    </r>
    <r>
      <rPr>
        <sz val="12"/>
        <color theme="1"/>
        <rFont val="微軟正黑體"/>
        <family val="2"/>
        <charset val="136"/>
      </rPr>
      <t>信用卡戶信貸</t>
    </r>
  </si>
  <si>
    <r>
      <t>P023=</t>
    </r>
    <r>
      <rPr>
        <sz val="12"/>
        <color theme="1"/>
        <rFont val="微軟正黑體"/>
        <family val="2"/>
        <charset val="136"/>
      </rPr>
      <t>消費性貸款</t>
    </r>
  </si>
  <si>
    <r>
      <t>P024=</t>
    </r>
    <r>
      <rPr>
        <sz val="12"/>
        <color theme="1"/>
        <rFont val="微軟正黑體"/>
        <family val="2"/>
        <charset val="136"/>
      </rPr>
      <t>簡易貸款</t>
    </r>
  </si>
  <si>
    <r>
      <t>P025=</t>
    </r>
    <r>
      <rPr>
        <sz val="12"/>
        <color theme="1"/>
        <rFont val="微軟正黑體"/>
        <family val="2"/>
        <charset val="136"/>
      </rPr>
      <t>簡易消費性貸款</t>
    </r>
  </si>
  <si>
    <r>
      <t>P026=</t>
    </r>
    <r>
      <rPr>
        <sz val="12"/>
        <color theme="1"/>
        <rFont val="微軟正黑體"/>
        <family val="2"/>
        <charset val="136"/>
      </rPr>
      <t>免求人消費性貸款</t>
    </r>
  </si>
  <si>
    <r>
      <t>P027=</t>
    </r>
    <r>
      <rPr>
        <sz val="12"/>
        <color theme="1"/>
        <rFont val="微軟正黑體"/>
        <family val="2"/>
        <charset val="136"/>
      </rPr>
      <t>遊學貸款</t>
    </r>
  </si>
  <si>
    <r>
      <t>P028=</t>
    </r>
    <r>
      <rPr>
        <sz val="12"/>
        <color theme="1"/>
        <rFont val="微軟正黑體"/>
        <family val="2"/>
        <charset val="136"/>
      </rPr>
      <t>加盟連鎖店貸款</t>
    </r>
  </si>
  <si>
    <r>
      <t>P029=</t>
    </r>
    <r>
      <rPr>
        <sz val="12"/>
        <color theme="1"/>
        <rFont val="微軟正黑體"/>
        <family val="2"/>
        <charset val="136"/>
      </rPr>
      <t>新世貸（一般房貸）</t>
    </r>
  </si>
  <si>
    <r>
      <t>P030=</t>
    </r>
    <r>
      <rPr>
        <sz val="12"/>
        <color theme="1"/>
        <rFont val="微軟正黑體"/>
        <family val="2"/>
        <charset val="136"/>
      </rPr>
      <t>新世貸（首購房貸）</t>
    </r>
  </si>
  <si>
    <r>
      <t>P031=</t>
    </r>
    <r>
      <rPr>
        <sz val="12"/>
        <color theme="1"/>
        <rFont val="微軟正黑體"/>
        <family val="2"/>
        <charset val="136"/>
      </rPr>
      <t>元氣新生貸</t>
    </r>
  </si>
  <si>
    <r>
      <t>P032=</t>
    </r>
    <r>
      <rPr>
        <sz val="12"/>
        <color theme="1"/>
        <rFont val="微軟正黑體"/>
        <family val="2"/>
        <charset val="136"/>
      </rPr>
      <t>小商戶週轉金貸款</t>
    </r>
  </si>
  <si>
    <r>
      <t>P033=</t>
    </r>
    <r>
      <rPr>
        <sz val="12"/>
        <color theme="1"/>
        <rFont val="微軟正黑體"/>
        <family val="2"/>
        <charset val="136"/>
      </rPr>
      <t>免息信用貸款</t>
    </r>
  </si>
  <si>
    <r>
      <t>P034=</t>
    </r>
    <r>
      <rPr>
        <sz val="12"/>
        <color theme="1"/>
        <rFont val="微軟正黑體"/>
        <family val="2"/>
        <charset val="136"/>
      </rPr>
      <t>家值貸</t>
    </r>
  </si>
  <si>
    <r>
      <t>P035=</t>
    </r>
    <r>
      <rPr>
        <sz val="12"/>
        <color theme="1"/>
        <rFont val="微軟正黑體"/>
        <family val="2"/>
        <charset val="136"/>
      </rPr>
      <t>民宿貸款</t>
    </r>
  </si>
  <si>
    <r>
      <t>P036=</t>
    </r>
    <r>
      <rPr>
        <sz val="12"/>
        <color theme="1"/>
        <rFont val="微軟正黑體"/>
        <family val="2"/>
        <charset val="136"/>
      </rPr>
      <t>互助惠</t>
    </r>
  </si>
  <si>
    <r>
      <t>P037=</t>
    </r>
    <r>
      <rPr>
        <sz val="12"/>
        <color theme="1"/>
        <rFont val="微軟正黑體"/>
        <family val="2"/>
        <charset val="136"/>
      </rPr>
      <t>公教現金卡</t>
    </r>
  </si>
  <si>
    <r>
      <t>P038=</t>
    </r>
    <r>
      <rPr>
        <sz val="12"/>
        <color theme="1"/>
        <rFont val="微軟正黑體"/>
        <family val="2"/>
        <charset val="136"/>
      </rPr>
      <t>法拍屋代墊款</t>
    </r>
  </si>
  <si>
    <r>
      <t>P039=</t>
    </r>
    <r>
      <rPr>
        <sz val="12"/>
        <color theme="1"/>
        <rFont val="微軟正黑體"/>
        <family val="2"/>
        <charset val="136"/>
      </rPr>
      <t>壽險貸款</t>
    </r>
  </si>
  <si>
    <r>
      <t>P040=</t>
    </r>
    <r>
      <rPr>
        <sz val="12"/>
        <color theme="1"/>
        <rFont val="微軟正黑體"/>
        <family val="2"/>
        <charset val="136"/>
      </rPr>
      <t>自助惠</t>
    </r>
  </si>
  <si>
    <r>
      <t>P041=</t>
    </r>
    <r>
      <rPr>
        <sz val="12"/>
        <color theme="1"/>
        <rFont val="微軟正黑體"/>
        <family val="2"/>
        <charset val="136"/>
      </rPr>
      <t>宅急貸</t>
    </r>
  </si>
  <si>
    <r>
      <t>P042=</t>
    </r>
    <r>
      <rPr>
        <sz val="12"/>
        <color theme="1"/>
        <rFont val="微軟正黑體"/>
        <family val="2"/>
        <charset val="136"/>
      </rPr>
      <t>宅急貸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逾時價</t>
    </r>
    <r>
      <rPr>
        <sz val="12"/>
        <color theme="1"/>
        <rFont val="Calibri"/>
        <family val="2"/>
      </rPr>
      <t>)</t>
    </r>
  </si>
  <si>
    <r>
      <t>P043=</t>
    </r>
    <r>
      <rPr>
        <sz val="12"/>
        <color theme="1"/>
        <rFont val="微軟正黑體"/>
        <family val="2"/>
        <charset val="136"/>
      </rPr>
      <t>ＦＵＮ心貸</t>
    </r>
  </si>
  <si>
    <r>
      <t>P044=</t>
    </r>
    <r>
      <rPr>
        <sz val="12"/>
        <color theme="1"/>
        <rFont val="微軟正黑體"/>
        <family val="2"/>
        <charset val="136"/>
      </rPr>
      <t>生利金</t>
    </r>
  </si>
  <si>
    <r>
      <t>P045=</t>
    </r>
    <r>
      <rPr>
        <sz val="12"/>
        <color theme="1"/>
        <rFont val="微軟正黑體"/>
        <family val="2"/>
        <charset val="136"/>
      </rPr>
      <t>雙雙對對信用貸款</t>
    </r>
  </si>
  <si>
    <r>
      <t>P046=</t>
    </r>
    <r>
      <rPr>
        <sz val="12"/>
        <color theme="1"/>
        <rFont val="微軟正黑體"/>
        <family val="2"/>
        <charset val="136"/>
      </rPr>
      <t>魔術貸</t>
    </r>
  </si>
  <si>
    <r>
      <t>P047=</t>
    </r>
    <r>
      <rPr>
        <sz val="12"/>
        <color theme="1"/>
        <rFont val="微軟正黑體"/>
        <family val="2"/>
        <charset val="136"/>
      </rPr>
      <t>好事貸</t>
    </r>
  </si>
  <si>
    <r>
      <t>P048=</t>
    </r>
    <r>
      <rPr>
        <sz val="12"/>
        <color theme="1"/>
        <rFont val="微軟正黑體"/>
        <family val="2"/>
        <charset val="136"/>
      </rPr>
      <t>事務機器貸款</t>
    </r>
  </si>
  <si>
    <r>
      <t>P049=</t>
    </r>
    <r>
      <rPr>
        <sz val="12"/>
        <color theme="1"/>
        <rFont val="微軟正黑體"/>
        <family val="2"/>
        <charset val="136"/>
      </rPr>
      <t>分期付款專案</t>
    </r>
  </si>
  <si>
    <r>
      <t>P050=</t>
    </r>
    <r>
      <rPr>
        <sz val="12"/>
        <color theme="1"/>
        <rFont val="微軟正黑體"/>
        <family val="2"/>
        <charset val="136"/>
      </rPr>
      <t>菁英貸</t>
    </r>
  </si>
  <si>
    <r>
      <t>P051=</t>
    </r>
    <r>
      <rPr>
        <sz val="12"/>
        <color theme="1"/>
        <rFont val="微軟正黑體"/>
        <family val="2"/>
        <charset val="136"/>
      </rPr>
      <t>卡通貸</t>
    </r>
  </si>
  <si>
    <r>
      <t>P052=</t>
    </r>
    <r>
      <rPr>
        <sz val="12"/>
        <color theme="1"/>
        <rFont val="微軟正黑體"/>
        <family val="2"/>
        <charset val="136"/>
      </rPr>
      <t>怡富資融專案</t>
    </r>
  </si>
  <si>
    <r>
      <t>P053=</t>
    </r>
    <r>
      <rPr>
        <sz val="12"/>
        <color theme="1"/>
        <rFont val="微軟正黑體"/>
        <family val="2"/>
        <charset val="136"/>
      </rPr>
      <t>更生</t>
    </r>
    <r>
      <rPr>
        <sz val="12"/>
        <color theme="1"/>
        <rFont val="Calibri"/>
        <family val="2"/>
      </rPr>
      <t>/</t>
    </r>
    <r>
      <rPr>
        <sz val="12"/>
        <color theme="1"/>
        <rFont val="微軟正黑體"/>
        <family val="2"/>
        <charset val="136"/>
      </rPr>
      <t>不足額清償信貸</t>
    </r>
  </si>
  <si>
    <r>
      <t>P054=</t>
    </r>
    <r>
      <rPr>
        <sz val="12"/>
        <color theme="1"/>
        <rFont val="微軟正黑體"/>
        <family val="2"/>
        <charset val="136"/>
      </rPr>
      <t>一般金融卡</t>
    </r>
  </si>
  <si>
    <r>
      <t>P055=</t>
    </r>
    <r>
      <rPr>
        <sz val="12"/>
        <color theme="1"/>
        <rFont val="微軟正黑體"/>
        <family val="2"/>
        <charset val="136"/>
      </rPr>
      <t>支存透支</t>
    </r>
  </si>
  <si>
    <r>
      <t>P056=</t>
    </r>
    <r>
      <rPr>
        <sz val="12"/>
        <color theme="1"/>
        <rFont val="微軟正黑體"/>
        <family val="2"/>
        <charset val="136"/>
      </rPr>
      <t>青年創業輔導貸款</t>
    </r>
  </si>
  <si>
    <r>
      <t>P057=</t>
    </r>
    <r>
      <rPr>
        <sz val="12"/>
        <color theme="1"/>
        <rFont val="微軟正黑體"/>
        <family val="2"/>
        <charset val="136"/>
      </rPr>
      <t>微型企業創業貸款</t>
    </r>
  </si>
  <si>
    <r>
      <t>P058=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舊客戶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無設定</t>
    </r>
    <r>
      <rPr>
        <sz val="12"/>
        <color theme="1"/>
        <rFont val="Calibri"/>
        <family val="2"/>
      </rPr>
      <t>)</t>
    </r>
  </si>
  <si>
    <r>
      <t>P059=</t>
    </r>
    <r>
      <rPr>
        <sz val="12"/>
        <color theme="1"/>
        <rFont val="微軟正黑體"/>
        <family val="2"/>
        <charset val="136"/>
      </rPr>
      <t>壽險理財金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級（新客戶）</t>
    </r>
  </si>
  <si>
    <r>
      <t>P060=</t>
    </r>
    <r>
      <rPr>
        <sz val="12"/>
        <color theme="1"/>
        <rFont val="微軟正黑體"/>
        <family val="2"/>
        <charset val="136"/>
      </rPr>
      <t>壽險理財金（舊客戶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</si>
  <si>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P061=</t>
    </r>
    <r>
      <rPr>
        <sz val="12"/>
        <color theme="1"/>
        <rFont val="微軟正黑體"/>
        <family val="2"/>
        <charset val="136"/>
      </rPr>
      <t>存款客戶信貸</t>
    </r>
    <r>
      <rPr>
        <sz val="12"/>
        <color theme="1"/>
        <rFont val="Calibri"/>
        <family val="2"/>
      </rPr>
      <t>IBT</t>
    </r>
  </si>
  <si>
    <r>
      <t>P062=</t>
    </r>
    <r>
      <rPr>
        <sz val="12"/>
        <color theme="1"/>
        <rFont val="微軟正黑體"/>
        <family val="2"/>
        <charset val="136"/>
      </rPr>
      <t>標會網</t>
    </r>
  </si>
  <si>
    <r>
      <t>P063=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A</t>
    </r>
    <r>
      <rPr>
        <sz val="12"/>
        <color theme="1"/>
        <rFont val="微軟正黑體"/>
        <family val="2"/>
        <charset val="136"/>
      </rPr>
      <t>級</t>
    </r>
  </si>
  <si>
    <r>
      <t>P064=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B</t>
    </r>
    <r>
      <rPr>
        <sz val="12"/>
        <color theme="1"/>
        <rFont val="微軟正黑體"/>
        <family val="2"/>
        <charset val="136"/>
      </rPr>
      <t>級</t>
    </r>
  </si>
  <si>
    <r>
      <t>P065=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C</t>
    </r>
    <r>
      <rPr>
        <sz val="12"/>
        <color theme="1"/>
        <rFont val="微軟正黑體"/>
        <family val="2"/>
        <charset val="136"/>
      </rPr>
      <t>級</t>
    </r>
  </si>
  <si>
    <r>
      <t>P066=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D</t>
    </r>
    <r>
      <rPr>
        <sz val="12"/>
        <color theme="1"/>
        <rFont val="微軟正黑體"/>
        <family val="2"/>
        <charset val="136"/>
      </rPr>
      <t>級</t>
    </r>
  </si>
  <si>
    <r>
      <t>P067=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E</t>
    </r>
    <r>
      <rPr>
        <sz val="12"/>
        <color theme="1"/>
        <rFont val="微軟正黑體"/>
        <family val="2"/>
        <charset val="136"/>
      </rPr>
      <t>級</t>
    </r>
  </si>
  <si>
    <r>
      <t>P068=</t>
    </r>
    <r>
      <rPr>
        <sz val="12"/>
        <color theme="1"/>
        <rFont val="微軟正黑體"/>
        <family val="2"/>
        <charset val="136"/>
      </rPr>
      <t>優質客戶信貸</t>
    </r>
    <r>
      <rPr>
        <sz val="12"/>
        <color theme="1"/>
        <rFont val="Calibri"/>
        <family val="2"/>
      </rPr>
      <t>F</t>
    </r>
    <r>
      <rPr>
        <sz val="12"/>
        <color theme="1"/>
        <rFont val="微軟正黑體"/>
        <family val="2"/>
        <charset val="136"/>
      </rPr>
      <t>級</t>
    </r>
  </si>
  <si>
    <r>
      <t>P069=</t>
    </r>
    <r>
      <rPr>
        <sz val="12"/>
        <color theme="1"/>
        <rFont val="微軟正黑體"/>
        <family val="2"/>
        <charset val="136"/>
      </rPr>
      <t>壽險理財金（轉換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房貸結清）</t>
    </r>
  </si>
  <si>
    <r>
      <t>P070=</t>
    </r>
    <r>
      <rPr>
        <sz val="12"/>
        <color theme="1"/>
        <rFont val="微軟正黑體"/>
        <family val="2"/>
        <charset val="136"/>
      </rPr>
      <t>一率到底優惠專案</t>
    </r>
  </si>
  <si>
    <r>
      <t>P071=</t>
    </r>
    <r>
      <rPr>
        <sz val="12"/>
        <color theme="1"/>
        <rFont val="微軟正黑體"/>
        <family val="2"/>
        <charset val="136"/>
      </rPr>
      <t>壽險理財金（新客戶）一率到底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微軟正黑體"/>
        <family val="2"/>
        <charset val="136"/>
      </rPr>
      <t>　　</t>
    </r>
  </si>
  <si>
    <r>
      <t>P072=</t>
    </r>
    <r>
      <rPr>
        <sz val="12"/>
        <color theme="1"/>
        <rFont val="微軟正黑體"/>
        <family val="2"/>
        <charset val="136"/>
      </rPr>
      <t>壽險理財金（舊客戶無設定）一率到底</t>
    </r>
  </si>
  <si>
    <r>
      <t>P073=</t>
    </r>
    <r>
      <rPr>
        <sz val="12"/>
        <color theme="1"/>
        <rFont val="微軟正黑體"/>
        <family val="2"/>
        <charset val="136"/>
      </rPr>
      <t>壽險理財金（舊客戶有設定）一率到底</t>
    </r>
  </si>
  <si>
    <r>
      <t>P074=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</si>
  <si>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P075=</t>
    </r>
    <r>
      <rPr>
        <sz val="12"/>
        <color theme="1"/>
        <rFont val="微軟正黑體"/>
        <family val="2"/>
        <charset val="136"/>
      </rPr>
      <t>優質目標客戶</t>
    </r>
  </si>
  <si>
    <r>
      <t>P076=</t>
    </r>
    <r>
      <rPr>
        <sz val="12"/>
        <color theme="1"/>
        <rFont val="微軟正黑體"/>
        <family val="2"/>
        <charset val="136"/>
      </rPr>
      <t>團體消費性貸款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信貸部專用</t>
    </r>
  </si>
  <si>
    <r>
      <t>P077=</t>
    </r>
    <r>
      <rPr>
        <sz val="12"/>
        <color theme="1"/>
        <rFont val="微軟正黑體"/>
        <family val="2"/>
        <charset val="136"/>
      </rPr>
      <t>房貸壽險（優質目標）</t>
    </r>
  </si>
  <si>
    <r>
      <t>P078=MMA</t>
    </r>
    <r>
      <rPr>
        <sz val="12"/>
        <color theme="1"/>
        <rFont val="微軟正黑體"/>
        <family val="2"/>
        <charset val="136"/>
      </rPr>
      <t>理財金（房貸結清</t>
    </r>
    <r>
      <rPr>
        <sz val="12"/>
        <color theme="1"/>
        <rFont val="Calibri"/>
        <family val="2"/>
      </rPr>
      <t>)</t>
    </r>
  </si>
  <si>
    <r>
      <t>P079=</t>
    </r>
    <r>
      <rPr>
        <sz val="12"/>
        <color theme="1"/>
        <rFont val="微軟正黑體"/>
        <family val="2"/>
        <charset val="136"/>
      </rPr>
      <t>貸客繳稅</t>
    </r>
  </si>
  <si>
    <r>
      <t>P080=</t>
    </r>
    <r>
      <rPr>
        <sz val="12"/>
        <color theme="1"/>
        <rFont val="微軟正黑體"/>
        <family val="2"/>
        <charset val="136"/>
      </rPr>
      <t>自行卡循環信貸</t>
    </r>
  </si>
  <si>
    <r>
      <t>P081=</t>
    </r>
    <r>
      <rPr>
        <sz val="12"/>
        <color theme="1"/>
        <rFont val="微軟正黑體"/>
        <family val="2"/>
        <charset val="136"/>
      </rPr>
      <t>房貸處分不足款</t>
    </r>
  </si>
  <si>
    <r>
      <t>P082=iBT</t>
    </r>
    <r>
      <rPr>
        <sz val="12"/>
        <color theme="1"/>
        <rFont val="微軟正黑體"/>
        <family val="2"/>
        <charset val="136"/>
      </rPr>
      <t>房貸</t>
    </r>
  </si>
  <si>
    <r>
      <t>P083=</t>
    </r>
    <r>
      <rPr>
        <sz val="12"/>
        <color theme="1"/>
        <rFont val="微軟正黑體"/>
        <family val="2"/>
        <charset val="136"/>
      </rPr>
      <t>豐利金</t>
    </r>
  </si>
  <si>
    <r>
      <t>P084=</t>
    </r>
    <r>
      <rPr>
        <sz val="12"/>
        <color theme="1"/>
        <rFont val="微軟正黑體"/>
        <family val="2"/>
        <charset val="136"/>
      </rPr>
      <t>薪喜貸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</si>
  <si>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P085=MMA</t>
    </r>
    <r>
      <rPr>
        <sz val="12"/>
        <color theme="1"/>
        <rFont val="微軟正黑體"/>
        <family val="2"/>
        <charset val="136"/>
      </rPr>
      <t>加碼金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</si>
  <si>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P086=</t>
    </r>
    <r>
      <rPr>
        <sz val="12"/>
        <color theme="1"/>
        <rFont val="微軟正黑體"/>
        <family val="2"/>
        <charset val="136"/>
      </rPr>
      <t>金控客戶信貸</t>
    </r>
  </si>
  <si>
    <r>
      <t>P087=</t>
    </r>
    <r>
      <rPr>
        <sz val="12"/>
        <color theme="1"/>
        <rFont val="微軟正黑體"/>
        <family val="2"/>
        <charset val="136"/>
      </rPr>
      <t>永豐活利標會金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</si>
  <si>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P088=</t>
    </r>
    <r>
      <rPr>
        <sz val="12"/>
        <color theme="1"/>
        <rFont val="微軟正黑體"/>
        <family val="2"/>
        <charset val="136"/>
      </rPr>
      <t>活利標會金</t>
    </r>
  </si>
  <si>
    <r>
      <t>P089=</t>
    </r>
    <r>
      <rPr>
        <sz val="12"/>
        <color theme="1"/>
        <rFont val="微軟正黑體"/>
        <family val="2"/>
        <charset val="136"/>
      </rPr>
      <t>法拍屋貸款</t>
    </r>
  </si>
  <si>
    <r>
      <t>P090=MMA</t>
    </r>
    <r>
      <rPr>
        <sz val="12"/>
        <color theme="1"/>
        <rFont val="微軟正黑體"/>
        <family val="2"/>
        <charset val="136"/>
      </rPr>
      <t>好家貸</t>
    </r>
  </si>
  <si>
    <r>
      <t>P091=MMA</t>
    </r>
    <r>
      <rPr>
        <sz val="12"/>
        <color theme="1"/>
        <rFont val="微軟正黑體"/>
        <family val="2"/>
        <charset val="136"/>
      </rPr>
      <t>宅世貸</t>
    </r>
  </si>
  <si>
    <r>
      <t>P092=</t>
    </r>
    <r>
      <rPr>
        <sz val="12"/>
        <color theme="1"/>
        <rFont val="微軟正黑體"/>
        <family val="2"/>
        <charset val="136"/>
      </rPr>
      <t>原</t>
    </r>
    <r>
      <rPr>
        <sz val="12"/>
        <color theme="1"/>
        <rFont val="Calibri"/>
        <family val="2"/>
      </rPr>
      <t>IBT</t>
    </r>
    <r>
      <rPr>
        <sz val="12"/>
        <color theme="1"/>
        <rFont val="微軟正黑體"/>
        <family val="2"/>
        <charset val="136"/>
      </rPr>
      <t>房貸壽險理財金</t>
    </r>
  </si>
  <si>
    <r>
      <t>P093=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優質信貸</t>
    </r>
  </si>
  <si>
    <r>
      <t>P094=</t>
    </r>
    <r>
      <rPr>
        <sz val="12"/>
        <color theme="1"/>
        <rFont val="微軟正黑體"/>
        <family val="2"/>
        <charset val="136"/>
      </rPr>
      <t>太陽光電設備</t>
    </r>
  </si>
  <si>
    <r>
      <t>P095=</t>
    </r>
    <r>
      <rPr>
        <sz val="12"/>
        <color theme="1"/>
        <rFont val="微軟正黑體"/>
        <family val="2"/>
        <charset val="136"/>
      </rPr>
      <t>便利金</t>
    </r>
  </si>
  <si>
    <r>
      <t>P096=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便利金</t>
    </r>
  </si>
  <si>
    <r>
      <t>P097=</t>
    </r>
    <r>
      <rPr>
        <sz val="12"/>
        <color theme="1"/>
        <rFont val="微軟正黑體"/>
        <family val="2"/>
        <charset val="136"/>
      </rPr>
      <t>南港軟體園區專案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</si>
  <si>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P098=</t>
    </r>
    <r>
      <rPr>
        <sz val="12"/>
        <color theme="1"/>
        <rFont val="微軟正黑體"/>
        <family val="2"/>
        <charset val="136"/>
      </rPr>
      <t>南港軟體園區專案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消金信貸</t>
    </r>
    <r>
      <rPr>
        <sz val="12"/>
        <color theme="1"/>
        <rFont val="Calibri"/>
        <family val="2"/>
      </rPr>
      <t>)</t>
    </r>
  </si>
  <si>
    <r>
      <t>P099=</t>
    </r>
    <r>
      <rPr>
        <sz val="12"/>
        <color theme="1"/>
        <rFont val="微軟正黑體"/>
        <family val="2"/>
        <charset val="136"/>
      </rPr>
      <t>外勞廠工薪轉貸款專案</t>
    </r>
  </si>
  <si>
    <r>
      <t>P100=</t>
    </r>
    <r>
      <rPr>
        <sz val="12"/>
        <color theme="1"/>
        <rFont val="微軟正黑體"/>
        <family val="2"/>
        <charset val="136"/>
      </rPr>
      <t>保費融資（新客戶）</t>
    </r>
  </si>
  <si>
    <r>
      <t>P101=</t>
    </r>
    <r>
      <rPr>
        <sz val="12"/>
        <color theme="1"/>
        <rFont val="微軟正黑體"/>
        <family val="2"/>
        <charset val="136"/>
      </rPr>
      <t>保費融資（新客戶）一率到底</t>
    </r>
  </si>
  <si>
    <r>
      <t>P102=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</t>
    </r>
  </si>
  <si>
    <r>
      <t>P103=</t>
    </r>
    <r>
      <rPr>
        <sz val="12"/>
        <color theme="1"/>
        <rFont val="微軟正黑體"/>
        <family val="2"/>
        <charset val="136"/>
      </rPr>
      <t>保費融資（既有客戶</t>
    </r>
    <r>
      <rPr>
        <sz val="12"/>
        <color theme="1"/>
        <rFont val="Calibri"/>
        <family val="2"/>
      </rPr>
      <t>-</t>
    </r>
    <r>
      <rPr>
        <sz val="12"/>
        <color theme="1"/>
        <rFont val="微軟正黑體"/>
        <family val="2"/>
        <charset val="136"/>
      </rPr>
      <t>有設定）ㄧ率到底</t>
    </r>
  </si>
  <si>
    <r>
      <t>P104=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一般信貸</t>
    </r>
  </si>
  <si>
    <r>
      <t>P105=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</si>
  <si>
    <r>
      <t>P106=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優質信貸</t>
    </r>
  </si>
  <si>
    <r>
      <t>P107=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</si>
  <si>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P108=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掌櫃貸</t>
    </r>
  </si>
  <si>
    <r>
      <t>P109=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</si>
  <si>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P110=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</si>
  <si>
    <r>
      <t>P111=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增好貸專案</t>
    </r>
  </si>
  <si>
    <r>
      <t>P112=</t>
    </r>
    <r>
      <rPr>
        <sz val="12"/>
        <color theme="1"/>
        <rFont val="微軟正黑體"/>
        <family val="2"/>
        <charset val="136"/>
      </rPr>
      <t>薪轉戶信貸</t>
    </r>
  </si>
  <si>
    <r>
      <t>P113=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金控往來戶信貸</t>
    </r>
  </si>
  <si>
    <r>
      <t>P114=</t>
    </r>
    <r>
      <rPr>
        <sz val="12"/>
        <color theme="1"/>
        <rFont val="微軟正黑體"/>
        <family val="2"/>
        <charset val="136"/>
      </rPr>
      <t>特選房貸戶專屬信貸</t>
    </r>
  </si>
  <si>
    <r>
      <t>P115=</t>
    </r>
    <r>
      <rPr>
        <sz val="12"/>
        <color theme="1"/>
        <rFont val="微軟正黑體"/>
        <family val="2"/>
        <charset val="136"/>
      </rPr>
      <t>好運貸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分行</t>
    </r>
    <r>
      <rPr>
        <sz val="12"/>
        <color theme="1"/>
        <rFont val="Calibri"/>
        <family val="2"/>
      </rPr>
      <t>)</t>
    </r>
  </si>
  <si>
    <r>
      <t>P116=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好運貸</t>
    </r>
  </si>
  <si>
    <r>
      <t>P117=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特選信用卡戶專屬信貸</t>
    </r>
  </si>
  <si>
    <r>
      <t>P118=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網銀信貸專案</t>
    </r>
  </si>
  <si>
    <r>
      <t>P119=</t>
    </r>
    <r>
      <rPr>
        <sz val="12"/>
        <color theme="1"/>
        <rFont val="微軟正黑體"/>
        <family val="2"/>
        <charset val="136"/>
      </rPr>
      <t>太陽光電大同專案</t>
    </r>
  </si>
  <si>
    <r>
      <t>P120=</t>
    </r>
    <r>
      <rPr>
        <sz val="12"/>
        <color theme="1"/>
        <rFont val="微軟正黑體"/>
        <family val="2"/>
        <charset val="136"/>
      </rPr>
      <t>永康國際商圈信貸</t>
    </r>
  </si>
  <si>
    <r>
      <t>P121=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薪轉戶信貸</t>
    </r>
  </si>
  <si>
    <r>
      <t>P122=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便利金</t>
    </r>
  </si>
  <si>
    <r>
      <t>P123=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永康國際商圈信貸</t>
    </r>
  </si>
  <si>
    <r>
      <t>P124=</t>
    </r>
    <r>
      <rPr>
        <sz val="12"/>
        <color theme="1"/>
        <rFont val="微軟正黑體"/>
        <family val="2"/>
        <charset val="136"/>
      </rPr>
      <t>信貸歲末年終專案</t>
    </r>
  </si>
  <si>
    <r>
      <t>P125=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信貸歲末年終專案</t>
    </r>
  </si>
  <si>
    <r>
      <t>P126=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信貸歲末年終專案</t>
    </r>
  </si>
  <si>
    <r>
      <t>P127=</t>
    </r>
    <r>
      <rPr>
        <sz val="12"/>
        <color theme="1"/>
        <rFont val="微軟正黑體"/>
        <family val="2"/>
        <charset val="136"/>
      </rPr>
      <t>消金信貸舊戶增貸專案</t>
    </r>
  </si>
  <si>
    <r>
      <t>P128=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薪轉戶信貸</t>
    </r>
  </si>
  <si>
    <r>
      <t>P129=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一般信貸</t>
    </r>
  </si>
  <si>
    <r>
      <t>P130=</t>
    </r>
    <r>
      <rPr>
        <sz val="12"/>
        <color theme="1"/>
        <rFont val="微軟正黑體"/>
        <family val="2"/>
        <charset val="136"/>
      </rPr>
      <t>消金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掌櫃貸</t>
    </r>
  </si>
  <si>
    <r>
      <t>P132=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批發市場供應商信貸</t>
    </r>
  </si>
  <si>
    <r>
      <t>P133=</t>
    </r>
    <r>
      <rPr>
        <sz val="12"/>
        <color theme="1"/>
        <rFont val="微軟正黑體"/>
        <family val="2"/>
        <charset val="136"/>
      </rPr>
      <t>批發市場供應商信貸</t>
    </r>
  </si>
  <si>
    <r>
      <t>P134=</t>
    </r>
    <r>
      <rPr>
        <sz val="12"/>
        <color theme="1"/>
        <rFont val="微軟正黑體"/>
        <family val="2"/>
        <charset val="136"/>
      </rPr>
      <t>外勞廠工非薪轉戶貸款專案</t>
    </r>
  </si>
  <si>
    <r>
      <t>P135=</t>
    </r>
    <r>
      <rPr>
        <sz val="12"/>
        <color theme="1"/>
        <rFont val="微軟正黑體"/>
        <family val="2"/>
        <charset val="136"/>
      </rPr>
      <t>交易型額度信貸</t>
    </r>
  </si>
  <si>
    <r>
      <t>P136=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交易型額度信貸</t>
    </r>
  </si>
  <si>
    <r>
      <t>P137=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交易型額度信貸</t>
    </r>
  </si>
  <si>
    <r>
      <t>P138=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保險</t>
    </r>
  </si>
  <si>
    <r>
      <t>P139=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豐利金</t>
    </r>
    <r>
      <rPr>
        <sz val="12"/>
        <color theme="1"/>
        <rFont val="Calibri"/>
        <family val="2"/>
      </rPr>
      <t>(</t>
    </r>
    <r>
      <rPr>
        <sz val="12"/>
        <color theme="1"/>
        <rFont val="微軟正黑體"/>
        <family val="2"/>
        <charset val="136"/>
      </rPr>
      <t>無回饋</t>
    </r>
    <r>
      <rPr>
        <sz val="12"/>
        <color theme="1"/>
        <rFont val="Calibri"/>
        <family val="2"/>
      </rPr>
      <t>)</t>
    </r>
    <r>
      <rPr>
        <sz val="12"/>
        <color theme="1"/>
        <rFont val="微軟正黑體"/>
        <family val="2"/>
        <charset val="136"/>
      </rPr>
      <t>保險</t>
    </r>
  </si>
  <si>
    <r>
      <t>P140=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外勞廠工薪轉貸款專案</t>
    </r>
  </si>
  <si>
    <r>
      <t>P141=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外勞廠工薪轉貸款專案</t>
    </r>
  </si>
  <si>
    <r>
      <t>P142=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外勞廠工非薪轉貸款專案</t>
    </r>
  </si>
  <si>
    <r>
      <t>P143=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外勞廠工非薪轉貸款專案</t>
    </r>
  </si>
  <si>
    <r>
      <t>P144=</t>
    </r>
    <r>
      <rPr>
        <sz val="12"/>
        <color theme="1"/>
        <rFont val="微軟正黑體"/>
        <family val="2"/>
        <charset val="136"/>
      </rPr>
      <t>電銷</t>
    </r>
    <r>
      <rPr>
        <sz val="12"/>
        <color theme="1"/>
        <rFont val="Calibri"/>
        <family val="2"/>
      </rPr>
      <t>TM</t>
    </r>
    <r>
      <rPr>
        <sz val="12"/>
        <color theme="1"/>
        <rFont val="微軟正黑體"/>
        <family val="2"/>
        <charset val="136"/>
      </rPr>
      <t>想貸就貸</t>
    </r>
  </si>
  <si>
    <r>
      <t>P145=</t>
    </r>
    <r>
      <rPr>
        <sz val="12"/>
        <color theme="1"/>
        <rFont val="微軟正黑體"/>
        <family val="2"/>
        <charset val="136"/>
      </rPr>
      <t>直效</t>
    </r>
    <r>
      <rPr>
        <sz val="12"/>
        <color theme="1"/>
        <rFont val="Calibri"/>
        <family val="2"/>
      </rPr>
      <t>DS</t>
    </r>
    <r>
      <rPr>
        <sz val="12"/>
        <color theme="1"/>
        <rFont val="微軟正黑體"/>
        <family val="2"/>
        <charset val="136"/>
      </rPr>
      <t>想貸就貸</t>
    </r>
  </si>
  <si>
    <r>
      <t>P146=</t>
    </r>
    <r>
      <rPr>
        <sz val="12"/>
        <color theme="1"/>
        <rFont val="微軟正黑體"/>
        <family val="2"/>
        <charset val="136"/>
      </rPr>
      <t>想貸就貸</t>
    </r>
  </si>
  <si>
    <r>
      <t>P147=</t>
    </r>
    <r>
      <rPr>
        <sz val="12"/>
        <color theme="1"/>
        <rFont val="微軟正黑體"/>
        <family val="2"/>
        <charset val="136"/>
      </rPr>
      <t>私房錢</t>
    </r>
  </si>
  <si>
    <r>
      <t>P148=</t>
    </r>
    <r>
      <rPr>
        <sz val="12"/>
        <color theme="1"/>
        <rFont val="微軟正黑體"/>
        <family val="2"/>
        <charset val="136"/>
      </rPr>
      <t>私房錢申購便利通</t>
    </r>
  </si>
  <si>
    <r>
      <t>P901=</t>
    </r>
    <r>
      <rPr>
        <sz val="12"/>
        <color theme="1"/>
        <rFont val="微軟正黑體"/>
        <family val="2"/>
        <charset val="136"/>
      </rPr>
      <t>醫療設備融資業務</t>
    </r>
  </si>
  <si>
    <t>List</t>
    <phoneticPr fontId="3" type="noConversion"/>
  </si>
  <si>
    <t xml:space="preserve"> 約定他行撥款-繳款紀錄查詢</t>
    <phoneticPr fontId="3" type="noConversion"/>
  </si>
  <si>
    <t>EL0011</t>
    <phoneticPr fontId="3" type="noConversion"/>
  </si>
  <si>
    <t>TMB.OD.DUMMY.TXN.DTL   NOFILE.TMB.OD.DUMMY.TXN.DTL</t>
    <phoneticPr fontId="3" type="noConversion"/>
  </si>
  <si>
    <t>EnqTBranch</t>
  </si>
  <si>
    <t>EnqTRepayAcct2</t>
  </si>
  <si>
    <t>EnqTxnId</t>
  </si>
  <si>
    <t>EnqEvtType</t>
  </si>
  <si>
    <t>EnqTxnDate</t>
  </si>
  <si>
    <t>EQ RG</t>
  </si>
  <si>
    <t>T.BRANCH</t>
  </si>
  <si>
    <t>T.REPAY.ACCT.2</t>
  </si>
  <si>
    <t>TXN.ID</t>
  </si>
  <si>
    <t>EVT.TYPE</t>
  </si>
  <si>
    <t>TXN.DATE</t>
    <phoneticPr fontId="3" type="noConversion"/>
  </si>
  <si>
    <t>T24.TXDATE</t>
  </si>
  <si>
    <t>T24.TXTIME</t>
  </si>
  <si>
    <t>T24.TXN.ID</t>
  </si>
  <si>
    <t>FUNC</t>
  </si>
  <si>
    <t>VALUE.DATE</t>
  </si>
  <si>
    <t>TXN.BANK.OUT</t>
  </si>
  <si>
    <t>TXN.ACCT.OUT</t>
  </si>
  <si>
    <t>TXN.BANK.IN</t>
  </si>
  <si>
    <t>TXN.ACCT.IN</t>
  </si>
  <si>
    <t>AMT</t>
  </si>
  <si>
    <t>PD.ID</t>
  </si>
  <si>
    <t>PE</t>
  </si>
  <si>
    <t>IN</t>
  </si>
  <si>
    <t>PR</t>
  </si>
  <si>
    <t>LN.MAIN.ACCT</t>
  </si>
  <si>
    <t>LIMIT.ID</t>
  </si>
  <si>
    <t>OD.ACCT.BAL</t>
  </si>
  <si>
    <t>OFFSET.RESULT</t>
  </si>
  <si>
    <t>OFFSET.ERROR</t>
  </si>
  <si>
    <t>EnqT24Txdate</t>
  </si>
  <si>
    <t>EnqT24Txtime</t>
  </si>
  <si>
    <t>EnqT24TxnId</t>
  </si>
  <si>
    <t>EnqFunc</t>
  </si>
  <si>
    <t>EnqValueDate</t>
  </si>
  <si>
    <t>EnqTxnBankOut</t>
  </si>
  <si>
    <t>EnqTxnAcctOut</t>
  </si>
  <si>
    <t>EnqTxnBankIn</t>
  </si>
  <si>
    <t>EnqTxnAcctIn</t>
  </si>
  <si>
    <t>EnqAmt</t>
  </si>
  <si>
    <t>EnqPdId</t>
  </si>
  <si>
    <t>EnqPe</t>
  </si>
  <si>
    <t>EnqIn</t>
  </si>
  <si>
    <t>EnqPr</t>
  </si>
  <si>
    <t>EnqLnMainAcct</t>
  </si>
  <si>
    <t>EnqLimitId</t>
  </si>
  <si>
    <t>EnqOdAcctBal</t>
  </si>
  <si>
    <t>EnqOffsetResult</t>
  </si>
  <si>
    <t>EnqOffsetError</t>
  </si>
  <si>
    <t>交易日期</t>
  </si>
  <si>
    <t>交易時間</t>
  </si>
  <si>
    <t>T24 交易代號</t>
  </si>
  <si>
    <t xml:space="preserve"> </t>
    <phoneticPr fontId="3" type="noConversion"/>
  </si>
  <si>
    <t>快通號帳號</t>
  </si>
  <si>
    <t>轉出帳號</t>
  </si>
  <si>
    <t>轉入帳號</t>
  </si>
  <si>
    <t>轉出銀行</t>
    <phoneticPr fontId="3" type="noConversion"/>
  </si>
  <si>
    <t>轉入銀行</t>
    <phoneticPr fontId="3" type="noConversion"/>
  </si>
  <si>
    <t>交易金額</t>
    <phoneticPr fontId="3" type="noConversion"/>
  </si>
  <si>
    <t>違約金</t>
  </si>
  <si>
    <t>利息</t>
  </si>
  <si>
    <t>本金</t>
  </si>
  <si>
    <t>繳款帳號餘額</t>
  </si>
  <si>
    <t>銷帳失敗原因</t>
  </si>
  <si>
    <t>EnqTRepayAcct2: 55817000000016
EnqTxnDate:20231024
credentials: INPUTT/123456
companyId: TW8070121</t>
    <phoneticPr fontId="3" type="noConversion"/>
  </si>
  <si>
    <r>
      <t>HTTP/1.1 200 OK
Cache-Control: no-cache
X-Powered-By: Undertow/1
Access-Control-Allow-Headers: Origin, Accept, X-Requested-With, Content-Type, Access-Control-Request-Method, Access-Control-Request-Headers
Server: JBoss-EAP/7
Date: Tue, 24 Oct 2023 09:35:17 GMT
Connection: close
Access-Control-Allow-Origin: *
Content-Type: application/json
Access-Control-Allow-Methods: GET, HEAD, POST, PUT, DELETE, TRACE, OPTIONS, CONNECT, PATCH
Access-Control-Max-Age: 3600
{
  "header": {
    "audit": {
      "T24_time": 130,
      "parse_time": 0
    },
    "page_start": 1,
    "page_token": "1001863317.01,99",
    "total_size": 2,
    "page_size": 99,
    "status": "success"
  },
  "body": [
    {
      "EnqAmt": "1000",
      "EnqLimitId": "3693577.0002200.01",
      "EnqT24TxnId": "LFT240010S4H94KK8",
      "EnqT24Txdate": "20231024",
      "EnqLnMainAcct": "17005500009315",
      "EnqTxnBankIn": "178",
      "EnqOffsetResult": "Y",
      "EnqTxnAcctOut": "123456789000000",
      "EnqIn": "0",
      "EnqValueDate": "20231024",
      "EnqFunc": "I",
      "EnqT24Txtime": "17:04:48.286",
      "EnqTxnAcctIn": "123456789000000",
      "EnqTxnBankOut": "178",
      "EnqEvtType": "01",
      "EnqTRepayAcct2": "55817000000016",
      "EnqPe": "0"
    },
    {
      "EnqAmt": "2",
      "EnqLimitId": "3693577.0002200.01",
      "EnqT24TxnId": "LFT240010S4H94WGY",
      "EnqOffsetError": "E13216/NO,CREDIT.VALUE.DATE:1:1=E13216AC-</t>
    </r>
    <r>
      <rPr>
        <sz val="11"/>
        <color theme="1"/>
        <rFont val="新細明體"/>
        <family val="2"/>
        <charset val="136"/>
      </rPr>
      <t>超前起息日不</t>
    </r>
    <r>
      <rPr>
        <sz val="11"/>
        <color theme="1"/>
        <rFont val="Calibri"/>
        <family val="2"/>
      </rPr>
      <t>",
      "EnqT24Txdate": "20231024",
      "EnqLnMainAcct": "17005500009315",
      "EnqTxnBankIn": "178",
      "EnqOffsetResult": "N",
      "EnqTxnAcctOut": "123456789000000",
      "EnqIn": "0",
      "EnqValueDate": "20231024",
      "EnqFunc": "I",
      "EnqT24Txtime": "17:06:00.534",
      "EnqPdId": "FT240014YJ5Z",
      "EnqTxnAcctIn": "123456789000000",
      "EnqTxnBankOut": "178",
      "EnqEvtType": "02",
      "EnqTRepayAcct2": "55817000000016",
      "EnqPe": "0"
    }
  ]
}</t>
    </r>
    <phoneticPr fontId="3" type="noConversion"/>
  </si>
  <si>
    <t>8L</t>
    <phoneticPr fontId="3" type="noConversion"/>
  </si>
  <si>
    <t>19L</t>
    <phoneticPr fontId="3" type="noConversion"/>
  </si>
  <si>
    <t>32L</t>
    <phoneticPr fontId="3" type="noConversion"/>
  </si>
  <si>
    <t>100L</t>
    <phoneticPr fontId="3" type="noConversion"/>
  </si>
  <si>
    <t>2023/10/24</t>
    <phoneticPr fontId="3" type="noConversion"/>
  </si>
  <si>
    <t>交易類型</t>
    <phoneticPr fontId="3" type="noConversion"/>
  </si>
  <si>
    <t>FUNCTION</t>
  </si>
  <si>
    <t>放款帳號</t>
    <phoneticPr fontId="3" type="noConversion"/>
  </si>
  <si>
    <t>生效日</t>
  </si>
  <si>
    <t>銷帳結果</t>
  </si>
  <si>
    <t>帳單編號</t>
    <phoneticPr fontId="3" type="noConversion"/>
  </si>
  <si>
    <t>PENALTY</t>
    <phoneticPr fontId="3" type="noConversion"/>
  </si>
  <si>
    <t>INTEREST</t>
    <phoneticPr fontId="3" type="noConversion"/>
  </si>
  <si>
    <t>PRINCIPAL</t>
    <phoneticPr fontId="3" type="noConversion"/>
  </si>
  <si>
    <t>TRANSACTION AMOUNT</t>
    <phoneticPr fontId="3" type="noConversion"/>
  </si>
  <si>
    <t>PD ID</t>
    <phoneticPr fontId="3" type="noConversion"/>
  </si>
  <si>
    <t>LOAN MAIN ACCOUNT</t>
    <phoneticPr fontId="3" type="noConversion"/>
  </si>
  <si>
    <t>LIMIT ID</t>
    <phoneticPr fontId="3" type="noConversion"/>
  </si>
  <si>
    <t>OD ACCOUNT BALANCE(THIS FIELD SHOW AMOUNT WHEN THE BALANCE GRATER THAN 0)</t>
    <phoneticPr fontId="3" type="noConversion"/>
  </si>
  <si>
    <t>Execution Result</t>
    <phoneticPr fontId="3" type="noConversion"/>
  </si>
  <si>
    <t>Execution Error</t>
    <phoneticPr fontId="3" type="noConversion"/>
  </si>
  <si>
    <t>Transfer out of bank</t>
    <phoneticPr fontId="3" type="noConversion"/>
  </si>
  <si>
    <t>Transfer out of Account</t>
    <phoneticPr fontId="3" type="noConversion"/>
  </si>
  <si>
    <t>Transfer in of bank</t>
    <phoneticPr fontId="3" type="noConversion"/>
  </si>
  <si>
    <t>Transfer in of account</t>
    <phoneticPr fontId="3" type="noConversion"/>
  </si>
  <si>
    <t>Function</t>
    <phoneticPr fontId="3" type="noConversion"/>
  </si>
  <si>
    <t>Transactiono date</t>
    <phoneticPr fontId="3" type="noConversion"/>
  </si>
  <si>
    <t>Transactiono time</t>
    <phoneticPr fontId="3" type="noConversion"/>
  </si>
  <si>
    <t>Transactiono type</t>
    <phoneticPr fontId="3" type="noConversion"/>
  </si>
  <si>
    <t>Account fot OD dummy repayment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</si>
</sst>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8"/>
      <color rgb="FFD4D4D4"/>
      <name val="Consolas"/>
      <family val="3"/>
    </font>
    <font>
      <sz val="8"/>
      <name val="Consolas"/>
      <family val="3"/>
    </font>
    <font>
      <sz val="10"/>
      <color theme="1"/>
      <name val="Calibri"/>
      <family val="2"/>
    </font>
    <font>
      <sz val="12"/>
      <color indexed="8"/>
      <name val="新細明體"/>
      <family val="1"/>
      <charset val="136"/>
    </font>
    <font>
      <sz val="10"/>
      <name val="細明體"/>
      <family val="3"/>
      <charset val="136"/>
    </font>
    <font>
      <sz val="12"/>
      <color theme="1"/>
      <name val="Calibri"/>
      <family val="2"/>
    </font>
    <font>
      <sz val="12"/>
      <color theme="1"/>
      <name val="微軟正黑體"/>
      <family val="2"/>
      <charset val="136"/>
    </font>
    <font>
      <sz val="11"/>
      <color rgb="FF242424"/>
      <name val="Segoe UI"/>
      <family val="2"/>
    </font>
    <font>
      <sz val="11"/>
      <color theme="1"/>
      <name val="新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  <xf numFmtId="0" fontId="22" fillId="0" borderId="0">
      <alignment vertical="center"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1" fillId="6" borderId="6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/>
    </xf>
    <xf numFmtId="0" fontId="24" fillId="0" borderId="0" xfId="0" applyFont="1"/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4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6" borderId="6" xfId="1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6" xfId="4" applyFont="1" applyFill="1" applyBorder="1" applyAlignment="1">
      <alignment horizontal="left" vertical="center"/>
    </xf>
    <xf numFmtId="0" fontId="11" fillId="4" borderId="6" xfId="0" applyFont="1" applyFill="1" applyBorder="1" applyAlignment="1">
      <alignment horizontal="left" vertical="center" wrapText="1"/>
    </xf>
    <xf numFmtId="0" fontId="18" fillId="4" borderId="6" xfId="0" applyFont="1" applyFill="1" applyBorder="1" applyAlignment="1">
      <alignment horizontal="left" vertical="center"/>
    </xf>
    <xf numFmtId="0" fontId="18" fillId="4" borderId="11" xfId="0" applyFont="1" applyFill="1" applyBorder="1" applyAlignment="1">
      <alignment horizontal="left" vertical="center"/>
    </xf>
    <xf numFmtId="0" fontId="10" fillId="0" borderId="0" xfId="0" quotePrefix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26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7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一般 3" xfId="6" xr:uid="{275C097D-93C3-47FE-ADAC-D3142C8FCD7E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0</xdr:rowOff>
    </xdr:from>
    <xdr:to>
      <xdr:col>25</xdr:col>
      <xdr:colOff>269469</xdr:colOff>
      <xdr:row>30</xdr:row>
      <xdr:rowOff>8469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C471BE4-4C09-4915-AB90-F1E1BA4EA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7482" y="6696635"/>
          <a:ext cx="18180952" cy="3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>
      <selection activeCell="E3" sqref="E3"/>
    </sheetView>
  </sheetViews>
  <sheetFormatPr defaultColWidth="9.140625" defaultRowHeight="15.75" x14ac:dyDescent="0.2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 x14ac:dyDescent="0.25">
      <c r="A1" s="54" t="s">
        <v>19</v>
      </c>
      <c r="B1" s="55"/>
      <c r="C1" s="55"/>
      <c r="D1" s="55"/>
      <c r="E1" s="55"/>
    </row>
    <row r="2" spans="1:5" ht="20.100000000000001" customHeight="1" thickBot="1" x14ac:dyDescent="0.3">
      <c r="A2" s="51" t="s">
        <v>33</v>
      </c>
      <c r="B2" s="52"/>
      <c r="C2" s="52"/>
      <c r="D2" s="52"/>
      <c r="E2" s="53"/>
    </row>
    <row r="3" spans="1:5" ht="16.5" thickBo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6.5" thickBot="1" x14ac:dyDescent="0.3">
      <c r="A4" s="3" t="s">
        <v>5</v>
      </c>
      <c r="B4" s="6" t="s">
        <v>559</v>
      </c>
      <c r="C4" s="5" t="s">
        <v>6</v>
      </c>
      <c r="D4" s="22" t="s">
        <v>61</v>
      </c>
      <c r="E4" s="4" t="s">
        <v>7</v>
      </c>
    </row>
    <row r="5" spans="1:5" ht="16.5" thickBot="1" x14ac:dyDescent="0.3">
      <c r="A5" s="3"/>
      <c r="B5" s="6"/>
      <c r="C5" s="5"/>
      <c r="D5" s="3"/>
      <c r="E5" s="4"/>
    </row>
    <row r="6" spans="1:5" ht="16.5" thickBot="1" x14ac:dyDescent="0.3">
      <c r="A6" s="3"/>
      <c r="B6" s="6"/>
      <c r="C6" s="5"/>
      <c r="D6" s="3"/>
      <c r="E6" s="4"/>
    </row>
    <row r="7" spans="1:5" ht="16.5" thickBot="1" x14ac:dyDescent="0.3">
      <c r="A7" s="3"/>
      <c r="B7" s="6"/>
      <c r="C7" s="5"/>
      <c r="D7" s="3"/>
      <c r="E7" s="4"/>
    </row>
    <row r="8" spans="1:5" ht="16.5" thickBot="1" x14ac:dyDescent="0.3">
      <c r="A8" s="4"/>
      <c r="B8" s="7"/>
      <c r="C8" s="8"/>
      <c r="D8" s="4"/>
      <c r="E8" s="4"/>
    </row>
    <row r="9" spans="1:5" ht="16.5" thickBot="1" x14ac:dyDescent="0.3">
      <c r="A9" s="4"/>
      <c r="B9" s="7"/>
      <c r="C9" s="8"/>
      <c r="D9" s="4"/>
      <c r="E9" s="4"/>
    </row>
    <row r="10" spans="1:5" ht="16.5" thickBot="1" x14ac:dyDescent="0.3">
      <c r="A10" s="4"/>
      <c r="B10" s="7"/>
      <c r="C10" s="8"/>
      <c r="D10" s="4"/>
      <c r="E10" s="4"/>
    </row>
    <row r="11" spans="1:5" ht="16.5" thickBot="1" x14ac:dyDescent="0.3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6.5" thickBot="1" x14ac:dyDescent="0.3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6.5" thickBot="1" x14ac:dyDescent="0.3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6.5" thickBot="1" x14ac:dyDescent="0.3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6.5" thickBot="1" x14ac:dyDescent="0.3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6.5" thickBot="1" x14ac:dyDescent="0.3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6.5" thickBot="1" x14ac:dyDescent="0.3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66"/>
  <sheetViews>
    <sheetView tabSelected="1" zoomScale="80" zoomScaleNormal="80" workbookViewId="0">
      <selection activeCell="H14" sqref="H14"/>
    </sheetView>
  </sheetViews>
  <sheetFormatPr defaultColWidth="8.85546875" defaultRowHeight="15" x14ac:dyDescent="0.25"/>
  <cols>
    <col min="1" max="1" width="4.28515625" style="29" bestFit="1" customWidth="1"/>
    <col min="2" max="2" width="34.42578125" style="29" customWidth="1"/>
    <col min="3" max="3" width="26" style="31" customWidth="1"/>
    <col min="4" max="4" width="18.5703125" style="31" bestFit="1" customWidth="1"/>
    <col min="5" max="5" width="34.140625" style="31" bestFit="1" customWidth="1"/>
    <col min="6" max="6" width="26.28515625" style="31" bestFit="1" customWidth="1"/>
    <col min="7" max="7" width="20.7109375" style="31" bestFit="1" customWidth="1"/>
    <col min="8" max="8" width="56.85546875" style="31" customWidth="1"/>
    <col min="9" max="9" width="38.140625" style="32" customWidth="1"/>
    <col min="10" max="10" width="18.28515625" style="31" customWidth="1"/>
    <col min="11" max="16384" width="8.85546875" style="31"/>
  </cols>
  <sheetData>
    <row r="1" spans="2:6" x14ac:dyDescent="0.25">
      <c r="B1" s="9" t="s">
        <v>37</v>
      </c>
      <c r="C1" s="30" t="s">
        <v>487</v>
      </c>
    </row>
    <row r="2" spans="2:6" x14ac:dyDescent="0.25">
      <c r="B2" s="9" t="s">
        <v>34</v>
      </c>
      <c r="C2" s="33" t="s">
        <v>486</v>
      </c>
    </row>
    <row r="3" spans="2:6" x14ac:dyDescent="0.25">
      <c r="B3" s="9" t="s">
        <v>8</v>
      </c>
      <c r="C3" s="30" t="str">
        <f>+"/api/v1.0.0/party/"&amp;C1</f>
        <v>/api/v1.0.0/party/EL0011</v>
      </c>
    </row>
    <row r="4" spans="2:6" ht="60" x14ac:dyDescent="0.25">
      <c r="B4" s="9" t="s">
        <v>21</v>
      </c>
      <c r="C4" s="34" t="s">
        <v>47</v>
      </c>
    </row>
    <row r="5" spans="2:6" x14ac:dyDescent="0.25">
      <c r="B5" s="9" t="s">
        <v>25</v>
      </c>
      <c r="C5" s="30" t="s">
        <v>9</v>
      </c>
    </row>
    <row r="6" spans="2:6" x14ac:dyDescent="0.25">
      <c r="B6" s="9" t="s">
        <v>20</v>
      </c>
      <c r="C6" s="30" t="s">
        <v>10</v>
      </c>
    </row>
    <row r="7" spans="2:6" x14ac:dyDescent="0.25">
      <c r="B7" s="9" t="s">
        <v>30</v>
      </c>
      <c r="C7" s="30" t="s">
        <v>488</v>
      </c>
    </row>
    <row r="8" spans="2:6" x14ac:dyDescent="0.25">
      <c r="B8" s="9" t="s">
        <v>22</v>
      </c>
      <c r="C8" s="30" t="str">
        <f>+"ENQ.API."&amp;$C$1&amp;".1.0.0"</f>
        <v>ENQ.API.EL0011.1.0.0</v>
      </c>
    </row>
    <row r="9" spans="2:6" x14ac:dyDescent="0.25">
      <c r="B9" s="31"/>
    </row>
    <row r="10" spans="2:6" x14ac:dyDescent="0.25">
      <c r="B10" s="31"/>
    </row>
    <row r="11" spans="2:6" x14ac:dyDescent="0.25">
      <c r="B11" s="9" t="s">
        <v>11</v>
      </c>
      <c r="C11" s="35" t="s">
        <v>35</v>
      </c>
      <c r="D11" s="9" t="s">
        <v>12</v>
      </c>
      <c r="E11" s="36" t="s">
        <v>38</v>
      </c>
      <c r="F11" s="36" t="s">
        <v>485</v>
      </c>
    </row>
    <row r="12" spans="2:6" ht="15.75" x14ac:dyDescent="0.25">
      <c r="B12" t="s">
        <v>495</v>
      </c>
      <c r="C12" t="s">
        <v>489</v>
      </c>
      <c r="D12" t="s">
        <v>13</v>
      </c>
      <c r="E12" s="30" t="s">
        <v>58</v>
      </c>
      <c r="F12" s="30"/>
    </row>
    <row r="13" spans="2:6" ht="15.75" x14ac:dyDescent="0.25">
      <c r="B13" t="s">
        <v>496</v>
      </c>
      <c r="C13" t="s">
        <v>490</v>
      </c>
      <c r="D13" t="s">
        <v>13</v>
      </c>
      <c r="E13" s="30"/>
      <c r="F13" s="30"/>
    </row>
    <row r="14" spans="2:6" ht="15.75" x14ac:dyDescent="0.25">
      <c r="B14" t="s">
        <v>497</v>
      </c>
      <c r="C14" t="s">
        <v>491</v>
      </c>
      <c r="D14" t="s">
        <v>13</v>
      </c>
      <c r="E14" s="30"/>
      <c r="F14" s="30"/>
    </row>
    <row r="15" spans="2:6" ht="15.75" x14ac:dyDescent="0.25">
      <c r="B15" t="s">
        <v>498</v>
      </c>
      <c r="C15" t="s">
        <v>492</v>
      </c>
      <c r="D15" t="s">
        <v>13</v>
      </c>
      <c r="E15" s="30"/>
      <c r="F15" s="34"/>
    </row>
    <row r="16" spans="2:6" ht="15.75" x14ac:dyDescent="0.25">
      <c r="B16" t="s">
        <v>499</v>
      </c>
      <c r="C16" t="s">
        <v>493</v>
      </c>
      <c r="D16" t="s">
        <v>494</v>
      </c>
      <c r="E16" s="30"/>
      <c r="F16" s="30"/>
    </row>
    <row r="17" spans="1:9" x14ac:dyDescent="0.25">
      <c r="B17" s="31"/>
      <c r="D17" s="37"/>
    </row>
    <row r="18" spans="1:9" x14ac:dyDescent="0.25">
      <c r="A18" s="38"/>
      <c r="B18" s="37"/>
      <c r="C18" s="38"/>
      <c r="D18" s="37"/>
      <c r="E18" s="37"/>
      <c r="F18" s="37"/>
    </row>
    <row r="19" spans="1:9" s="29" customFormat="1" x14ac:dyDescent="0.25">
      <c r="A19" s="39" t="s">
        <v>14</v>
      </c>
      <c r="B19" s="39" t="s">
        <v>15</v>
      </c>
      <c r="C19" s="39" t="s">
        <v>36</v>
      </c>
      <c r="D19" s="40" t="s">
        <v>23</v>
      </c>
      <c r="E19" s="39" t="s">
        <v>16</v>
      </c>
      <c r="F19" s="39" t="s">
        <v>17</v>
      </c>
      <c r="G19" s="39" t="s">
        <v>24</v>
      </c>
      <c r="H19" s="39" t="s">
        <v>24</v>
      </c>
      <c r="I19" s="41" t="s">
        <v>70</v>
      </c>
    </row>
    <row r="20" spans="1:9" s="29" customFormat="1" x14ac:dyDescent="0.25">
      <c r="A20" s="42"/>
      <c r="B20" s="42" t="s">
        <v>39</v>
      </c>
      <c r="C20" s="42" t="s">
        <v>40</v>
      </c>
      <c r="D20" s="42" t="s">
        <v>41</v>
      </c>
      <c r="E20" s="42" t="s">
        <v>42</v>
      </c>
      <c r="F20" s="42" t="s">
        <v>43</v>
      </c>
      <c r="G20" s="43" t="s">
        <v>44</v>
      </c>
      <c r="H20" s="43" t="s">
        <v>45</v>
      </c>
      <c r="I20" s="41" t="s">
        <v>71</v>
      </c>
    </row>
    <row r="21" spans="1:9" ht="15.75" x14ac:dyDescent="0.25">
      <c r="A21" s="25">
        <v>1</v>
      </c>
      <c r="B21" t="s">
        <v>500</v>
      </c>
      <c r="C21" t="s">
        <v>519</v>
      </c>
      <c r="F21" s="31" t="s">
        <v>68</v>
      </c>
      <c r="G21" s="26" t="s">
        <v>538</v>
      </c>
      <c r="H21" s="44" t="s">
        <v>581</v>
      </c>
    </row>
    <row r="22" spans="1:9" ht="15.75" x14ac:dyDescent="0.25">
      <c r="A22" s="25">
        <v>2</v>
      </c>
      <c r="B22" t="s">
        <v>501</v>
      </c>
      <c r="C22" t="s">
        <v>520</v>
      </c>
      <c r="F22" s="31" t="s">
        <v>64</v>
      </c>
      <c r="G22" s="26" t="s">
        <v>539</v>
      </c>
      <c r="H22" s="44" t="s">
        <v>582</v>
      </c>
    </row>
    <row r="23" spans="1:9" ht="15.75" x14ac:dyDescent="0.25">
      <c r="A23" s="25">
        <v>3</v>
      </c>
      <c r="B23" t="s">
        <v>498</v>
      </c>
      <c r="C23" t="s">
        <v>492</v>
      </c>
      <c r="F23" s="31" t="s">
        <v>555</v>
      </c>
      <c r="G23" s="26" t="s">
        <v>560</v>
      </c>
      <c r="H23" s="44" t="s">
        <v>583</v>
      </c>
    </row>
    <row r="24" spans="1:9" ht="15.75" x14ac:dyDescent="0.25">
      <c r="A24" s="25">
        <v>4</v>
      </c>
      <c r="B24" t="s">
        <v>502</v>
      </c>
      <c r="C24" t="s">
        <v>521</v>
      </c>
      <c r="F24" s="31" t="s">
        <v>63</v>
      </c>
      <c r="G24" s="27" t="s">
        <v>540</v>
      </c>
      <c r="H24" s="44" t="s">
        <v>502</v>
      </c>
    </row>
    <row r="25" spans="1:9" ht="15.75" x14ac:dyDescent="0.25">
      <c r="A25" s="25">
        <v>5</v>
      </c>
      <c r="B25" t="s">
        <v>503</v>
      </c>
      <c r="C25" t="s">
        <v>522</v>
      </c>
      <c r="F25" s="31" t="s">
        <v>65</v>
      </c>
      <c r="G25" s="27" t="s">
        <v>561</v>
      </c>
      <c r="H25" s="44" t="s">
        <v>580</v>
      </c>
    </row>
    <row r="26" spans="1:9" ht="15.75" x14ac:dyDescent="0.25">
      <c r="A26" s="25">
        <v>6</v>
      </c>
      <c r="B26" t="s">
        <v>504</v>
      </c>
      <c r="C26" t="s">
        <v>523</v>
      </c>
      <c r="F26" s="31" t="s">
        <v>64</v>
      </c>
      <c r="G26" s="27" t="s">
        <v>563</v>
      </c>
      <c r="H26" s="45" t="s">
        <v>504</v>
      </c>
    </row>
    <row r="27" spans="1:9" ht="15.75" x14ac:dyDescent="0.25">
      <c r="A27" s="25">
        <v>7</v>
      </c>
      <c r="B27" t="s">
        <v>496</v>
      </c>
      <c r="C27" t="s">
        <v>490</v>
      </c>
      <c r="F27" s="31" t="s">
        <v>62</v>
      </c>
      <c r="G27" s="26" t="s">
        <v>542</v>
      </c>
      <c r="H27" s="46" t="s">
        <v>584</v>
      </c>
      <c r="I27" s="47"/>
    </row>
    <row r="28" spans="1:9" ht="15.75" x14ac:dyDescent="0.25">
      <c r="A28" s="25">
        <v>8</v>
      </c>
      <c r="B28" t="s">
        <v>505</v>
      </c>
      <c r="C28" t="s">
        <v>524</v>
      </c>
      <c r="F28" s="31" t="s">
        <v>67</v>
      </c>
      <c r="G28" s="27" t="s">
        <v>545</v>
      </c>
      <c r="H28" s="45" t="s">
        <v>576</v>
      </c>
      <c r="I28" s="32" t="s">
        <v>541</v>
      </c>
    </row>
    <row r="29" spans="1:9" ht="15.75" x14ac:dyDescent="0.25">
      <c r="A29" s="25">
        <v>9</v>
      </c>
      <c r="B29" t="s">
        <v>506</v>
      </c>
      <c r="C29" t="s">
        <v>525</v>
      </c>
      <c r="F29" s="31" t="s">
        <v>67</v>
      </c>
      <c r="G29" s="27" t="s">
        <v>543</v>
      </c>
      <c r="H29" s="45" t="s">
        <v>577</v>
      </c>
    </row>
    <row r="30" spans="1:9" ht="15.75" x14ac:dyDescent="0.25">
      <c r="A30" s="25">
        <v>10</v>
      </c>
      <c r="B30" t="s">
        <v>507</v>
      </c>
      <c r="C30" t="s">
        <v>526</v>
      </c>
      <c r="F30" s="31" t="s">
        <v>67</v>
      </c>
      <c r="G30" s="27" t="s">
        <v>546</v>
      </c>
      <c r="H30" s="45" t="s">
        <v>578</v>
      </c>
    </row>
    <row r="31" spans="1:9" ht="15.75" x14ac:dyDescent="0.25">
      <c r="A31" s="25">
        <v>11</v>
      </c>
      <c r="B31" t="s">
        <v>508</v>
      </c>
      <c r="C31" t="s">
        <v>527</v>
      </c>
      <c r="E31" s="31" t="s">
        <v>58</v>
      </c>
      <c r="F31" s="31" t="s">
        <v>67</v>
      </c>
      <c r="G31" s="27" t="s">
        <v>544</v>
      </c>
      <c r="H31" s="45" t="s">
        <v>579</v>
      </c>
    </row>
    <row r="32" spans="1:9" ht="15.75" x14ac:dyDescent="0.25">
      <c r="A32" s="25">
        <v>12</v>
      </c>
      <c r="B32" t="s">
        <v>509</v>
      </c>
      <c r="C32" t="s">
        <v>528</v>
      </c>
      <c r="E32" s="31" t="s">
        <v>58</v>
      </c>
      <c r="F32" s="31" t="s">
        <v>46</v>
      </c>
      <c r="G32" s="27" t="s">
        <v>547</v>
      </c>
      <c r="H32" s="44" t="s">
        <v>569</v>
      </c>
    </row>
    <row r="33" spans="1:8" ht="14.45" customHeight="1" x14ac:dyDescent="0.25">
      <c r="A33" s="25">
        <v>13</v>
      </c>
      <c r="B33" t="s">
        <v>510</v>
      </c>
      <c r="C33" t="s">
        <v>529</v>
      </c>
      <c r="E33" s="31" t="s">
        <v>58</v>
      </c>
      <c r="F33" s="31" t="s">
        <v>62</v>
      </c>
      <c r="G33" s="27" t="s">
        <v>565</v>
      </c>
      <c r="H33" s="45" t="s">
        <v>570</v>
      </c>
    </row>
    <row r="34" spans="1:8" ht="15.75" x14ac:dyDescent="0.25">
      <c r="A34" s="25">
        <v>14</v>
      </c>
      <c r="B34" t="s">
        <v>511</v>
      </c>
      <c r="C34" t="s">
        <v>530</v>
      </c>
      <c r="E34" s="31" t="s">
        <v>58</v>
      </c>
      <c r="F34" s="31" t="s">
        <v>556</v>
      </c>
      <c r="G34" s="27" t="s">
        <v>548</v>
      </c>
      <c r="H34" s="45" t="s">
        <v>566</v>
      </c>
    </row>
    <row r="35" spans="1:8" ht="15.75" x14ac:dyDescent="0.25">
      <c r="A35" s="25">
        <v>15</v>
      </c>
      <c r="B35" t="s">
        <v>512</v>
      </c>
      <c r="C35" t="s">
        <v>531</v>
      </c>
      <c r="E35" s="31" t="s">
        <v>58</v>
      </c>
      <c r="F35" s="31" t="s">
        <v>556</v>
      </c>
      <c r="G35" s="27" t="s">
        <v>549</v>
      </c>
      <c r="H35" s="45" t="s">
        <v>567</v>
      </c>
    </row>
    <row r="36" spans="1:8" ht="15.75" x14ac:dyDescent="0.25">
      <c r="A36" s="25">
        <v>16</v>
      </c>
      <c r="B36" t="s">
        <v>513</v>
      </c>
      <c r="C36" t="s">
        <v>532</v>
      </c>
      <c r="E36" s="31" t="s">
        <v>58</v>
      </c>
      <c r="F36" s="31" t="s">
        <v>69</v>
      </c>
      <c r="G36" s="27" t="s">
        <v>550</v>
      </c>
      <c r="H36" s="45" t="s">
        <v>568</v>
      </c>
    </row>
    <row r="37" spans="1:8" ht="15.75" x14ac:dyDescent="0.25">
      <c r="A37" s="25">
        <v>17</v>
      </c>
      <c r="B37" t="s">
        <v>514</v>
      </c>
      <c r="C37" t="s">
        <v>533</v>
      </c>
      <c r="E37" s="31" t="s">
        <v>59</v>
      </c>
      <c r="F37" s="31" t="s">
        <v>62</v>
      </c>
      <c r="G37" s="27" t="s">
        <v>562</v>
      </c>
      <c r="H37" s="45" t="s">
        <v>571</v>
      </c>
    </row>
    <row r="38" spans="1:8" ht="15.75" x14ac:dyDescent="0.25">
      <c r="A38" s="25">
        <v>18</v>
      </c>
      <c r="B38" t="s">
        <v>515</v>
      </c>
      <c r="C38" t="s">
        <v>534</v>
      </c>
      <c r="E38" s="31" t="s">
        <v>58</v>
      </c>
      <c r="F38" s="31" t="s">
        <v>557</v>
      </c>
      <c r="G38" s="27" t="s">
        <v>60</v>
      </c>
      <c r="H38" s="45" t="s">
        <v>572</v>
      </c>
    </row>
    <row r="39" spans="1:8" ht="15.75" x14ac:dyDescent="0.25">
      <c r="A39" s="25">
        <v>19</v>
      </c>
      <c r="B39" t="s">
        <v>516</v>
      </c>
      <c r="C39" t="s">
        <v>535</v>
      </c>
      <c r="E39" s="31" t="s">
        <v>58</v>
      </c>
      <c r="F39" s="31" t="s">
        <v>69</v>
      </c>
      <c r="G39" s="27" t="s">
        <v>551</v>
      </c>
      <c r="H39" s="45" t="s">
        <v>573</v>
      </c>
    </row>
    <row r="40" spans="1:8" ht="14.45" customHeight="1" x14ac:dyDescent="0.25">
      <c r="A40" s="25">
        <v>20</v>
      </c>
      <c r="B40" t="s">
        <v>517</v>
      </c>
      <c r="C40" t="s">
        <v>536</v>
      </c>
      <c r="E40" s="31" t="s">
        <v>58</v>
      </c>
      <c r="F40" s="31" t="s">
        <v>66</v>
      </c>
      <c r="G40" s="27" t="s">
        <v>564</v>
      </c>
      <c r="H40" s="45" t="s">
        <v>574</v>
      </c>
    </row>
    <row r="41" spans="1:8" ht="15.75" x14ac:dyDescent="0.25">
      <c r="A41" s="25">
        <v>21</v>
      </c>
      <c r="B41" t="s">
        <v>518</v>
      </c>
      <c r="C41" t="s">
        <v>537</v>
      </c>
      <c r="E41" s="31" t="s">
        <v>58</v>
      </c>
      <c r="F41" s="31" t="s">
        <v>558</v>
      </c>
      <c r="G41" s="27" t="s">
        <v>552</v>
      </c>
      <c r="H41" s="45" t="s">
        <v>575</v>
      </c>
    </row>
    <row r="42" spans="1:8" x14ac:dyDescent="0.25">
      <c r="A42" s="31"/>
    </row>
    <row r="43" spans="1:8" x14ac:dyDescent="0.25">
      <c r="A43" s="31"/>
    </row>
    <row r="44" spans="1:8" x14ac:dyDescent="0.25">
      <c r="A44" s="31"/>
    </row>
    <row r="45" spans="1:8" x14ac:dyDescent="0.25">
      <c r="A45" s="31"/>
      <c r="G45" s="48"/>
    </row>
    <row r="46" spans="1:8" x14ac:dyDescent="0.25">
      <c r="A46" s="31"/>
      <c r="G46" s="48"/>
    </row>
    <row r="47" spans="1:8" x14ac:dyDescent="0.25">
      <c r="A47" s="31"/>
      <c r="G47" s="48"/>
      <c r="H47" s="49"/>
    </row>
    <row r="48" spans="1:8" x14ac:dyDescent="0.25">
      <c r="A48" s="31"/>
      <c r="H48" s="49"/>
    </row>
    <row r="49" spans="1:8" x14ac:dyDescent="0.25">
      <c r="A49" s="31"/>
    </row>
    <row r="50" spans="1:8" x14ac:dyDescent="0.25">
      <c r="A50" s="31"/>
    </row>
    <row r="51" spans="1:8" x14ac:dyDescent="0.25">
      <c r="A51" s="31"/>
      <c r="H51" s="49"/>
    </row>
    <row r="52" spans="1:8" ht="16.5" x14ac:dyDescent="0.25">
      <c r="A52" s="31"/>
      <c r="E52" s="50"/>
      <c r="G52" s="48"/>
    </row>
    <row r="53" spans="1:8" ht="16.5" x14ac:dyDescent="0.25">
      <c r="A53" s="31"/>
      <c r="E53" s="50"/>
    </row>
    <row r="54" spans="1:8" ht="16.5" x14ac:dyDescent="0.25">
      <c r="A54" s="31"/>
      <c r="E54" s="50"/>
      <c r="G54" s="48"/>
    </row>
    <row r="55" spans="1:8" x14ac:dyDescent="0.25">
      <c r="A55" s="31"/>
      <c r="G55" s="48"/>
    </row>
    <row r="56" spans="1:8" x14ac:dyDescent="0.25">
      <c r="A56" s="31"/>
    </row>
    <row r="57" spans="1:8" x14ac:dyDescent="0.25">
      <c r="A57" s="31"/>
    </row>
    <row r="58" spans="1:8" x14ac:dyDescent="0.25">
      <c r="A58" s="31"/>
      <c r="G58" s="48"/>
    </row>
    <row r="59" spans="1:8" x14ac:dyDescent="0.25">
      <c r="A59" s="31"/>
    </row>
    <row r="60" spans="1:8" x14ac:dyDescent="0.25">
      <c r="A60" s="31"/>
    </row>
    <row r="61" spans="1:8" x14ac:dyDescent="0.25">
      <c r="A61" s="31"/>
    </row>
    <row r="62" spans="1:8" x14ac:dyDescent="0.25">
      <c r="A62" s="31"/>
    </row>
    <row r="63" spans="1:8" x14ac:dyDescent="0.25">
      <c r="A63" s="31"/>
      <c r="G63" s="48"/>
    </row>
    <row r="64" spans="1:8" x14ac:dyDescent="0.25">
      <c r="A64" s="31"/>
      <c r="G64" s="48"/>
    </row>
    <row r="65" spans="1:7" x14ac:dyDescent="0.25">
      <c r="A65" s="31"/>
      <c r="G65" s="48"/>
    </row>
    <row r="66" spans="1:7" x14ac:dyDescent="0.25">
      <c r="A66" s="31"/>
    </row>
  </sheetData>
  <autoFilter ref="A19:I41" xr:uid="{BB735742-3CD0-4750-B22A-50DC259A1BFC}"/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opLeftCell="A4" zoomScale="85" zoomScaleNormal="85" workbookViewId="0">
      <selection activeCell="H4" sqref="H4"/>
    </sheetView>
  </sheetViews>
  <sheetFormatPr defaultColWidth="8.85546875" defaultRowHeight="15.75" x14ac:dyDescent="0.25"/>
  <cols>
    <col min="1" max="1" width="8" style="13" bestFit="1" customWidth="1"/>
    <col min="2" max="2" width="10.85546875" style="13" customWidth="1"/>
    <col min="3" max="3" width="10" style="13" bestFit="1" customWidth="1"/>
    <col min="4" max="4" width="39.5703125" style="13" bestFit="1" customWidth="1"/>
    <col min="5" max="5" width="67.7109375" style="13" customWidth="1"/>
    <col min="6" max="16384" width="8.85546875" style="13"/>
  </cols>
  <sheetData>
    <row r="1" spans="1:6" x14ac:dyDescent="0.25">
      <c r="B1" s="12" t="s">
        <v>31</v>
      </c>
      <c r="C1" s="21" t="str">
        <f>+"http://10.11.62.82:28080/IRIS/api/v1.0.0/party/"&amp;Spec!$C$1</f>
        <v>http://10.11.62.82:28080/IRIS/api/v1.0.0/party/EL0011</v>
      </c>
      <c r="D1" s="12"/>
      <c r="E1" s="11"/>
      <c r="F1" s="23"/>
    </row>
    <row r="2" spans="1:6" x14ac:dyDescent="0.25">
      <c r="A2" s="11"/>
      <c r="B2" s="11" t="s">
        <v>32</v>
      </c>
      <c r="C2" s="21" t="str">
        <f>+"http://10.11.62.82:58080/IRIS/api/v1.0.0/party/"&amp;Spec!$C$1</f>
        <v>http://10.11.62.82:58080/IRIS/api/v1.0.0/party/EL0011</v>
      </c>
      <c r="D2" s="10"/>
      <c r="E2" s="11"/>
    </row>
    <row r="3" spans="1:6" x14ac:dyDescent="0.25">
      <c r="A3" s="14"/>
      <c r="B3" s="15" t="s">
        <v>26</v>
      </c>
      <c r="C3" s="16" t="s">
        <v>27</v>
      </c>
      <c r="D3" s="16" t="s">
        <v>28</v>
      </c>
      <c r="E3" s="17" t="s">
        <v>18</v>
      </c>
      <c r="F3" s="24"/>
    </row>
    <row r="4" spans="1:6" ht="408.6" customHeight="1" x14ac:dyDescent="0.25">
      <c r="A4" s="14"/>
      <c r="B4" s="18" t="s">
        <v>29</v>
      </c>
      <c r="C4" s="18"/>
      <c r="D4" s="20" t="s">
        <v>553</v>
      </c>
      <c r="E4" s="19" t="s">
        <v>554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98B4-1548-484D-9EAF-18A39465084A}">
  <dimension ref="A1:C411"/>
  <sheetViews>
    <sheetView workbookViewId="0">
      <selection activeCell="C19" sqref="C19"/>
    </sheetView>
  </sheetViews>
  <sheetFormatPr defaultRowHeight="15.75" x14ac:dyDescent="0.25"/>
  <cols>
    <col min="1" max="2" width="21.42578125" bestFit="1" customWidth="1"/>
    <col min="3" max="3" width="32.85546875" bestFit="1" customWidth="1"/>
  </cols>
  <sheetData>
    <row r="1" spans="1:3" x14ac:dyDescent="0.25">
      <c r="A1" s="28" t="s">
        <v>133</v>
      </c>
      <c r="B1" s="28" t="s">
        <v>134</v>
      </c>
      <c r="C1" s="28" t="s">
        <v>135</v>
      </c>
    </row>
    <row r="2" spans="1:3" x14ac:dyDescent="0.25">
      <c r="A2" s="28" t="s">
        <v>48</v>
      </c>
      <c r="B2" s="28" t="s">
        <v>53</v>
      </c>
      <c r="C2" s="28" t="s">
        <v>72</v>
      </c>
    </row>
    <row r="3" spans="1:3" x14ac:dyDescent="0.25">
      <c r="A3" s="28" t="s">
        <v>48</v>
      </c>
      <c r="B3" s="28" t="s">
        <v>53</v>
      </c>
      <c r="C3" s="28" t="s">
        <v>73</v>
      </c>
    </row>
    <row r="4" spans="1:3" x14ac:dyDescent="0.25">
      <c r="A4" s="28" t="s">
        <v>48</v>
      </c>
      <c r="B4" s="28" t="s">
        <v>53</v>
      </c>
      <c r="C4" s="28" t="s">
        <v>74</v>
      </c>
    </row>
    <row r="5" spans="1:3" x14ac:dyDescent="0.25">
      <c r="A5" s="28" t="s">
        <v>48</v>
      </c>
      <c r="B5" s="28" t="s">
        <v>53</v>
      </c>
      <c r="C5" s="28" t="s">
        <v>75</v>
      </c>
    </row>
    <row r="6" spans="1:3" x14ac:dyDescent="0.25">
      <c r="A6" s="28" t="s">
        <v>48</v>
      </c>
      <c r="B6" s="28" t="s">
        <v>53</v>
      </c>
      <c r="C6" s="28" t="s">
        <v>76</v>
      </c>
    </row>
    <row r="7" spans="1:3" x14ac:dyDescent="0.25">
      <c r="A7" s="28" t="s">
        <v>48</v>
      </c>
      <c r="B7" s="28" t="s">
        <v>53</v>
      </c>
      <c r="C7" s="28" t="s">
        <v>77</v>
      </c>
    </row>
    <row r="8" spans="1:3" x14ac:dyDescent="0.25">
      <c r="A8" s="28" t="s">
        <v>48</v>
      </c>
      <c r="B8" s="28" t="s">
        <v>53</v>
      </c>
      <c r="C8" s="28" t="s">
        <v>78</v>
      </c>
    </row>
    <row r="9" spans="1:3" x14ac:dyDescent="0.25">
      <c r="A9" s="28" t="s">
        <v>48</v>
      </c>
      <c r="B9" s="28" t="s">
        <v>53</v>
      </c>
      <c r="C9" s="28" t="s">
        <v>79</v>
      </c>
    </row>
    <row r="10" spans="1:3" x14ac:dyDescent="0.25">
      <c r="A10" s="28" t="s">
        <v>48</v>
      </c>
      <c r="B10" s="28" t="s">
        <v>53</v>
      </c>
      <c r="C10" s="28" t="s">
        <v>80</v>
      </c>
    </row>
    <row r="11" spans="1:3" x14ac:dyDescent="0.25">
      <c r="A11" s="28" t="s">
        <v>48</v>
      </c>
      <c r="B11" s="28" t="s">
        <v>53</v>
      </c>
      <c r="C11" s="28" t="s">
        <v>81</v>
      </c>
    </row>
    <row r="12" spans="1:3" x14ac:dyDescent="0.25">
      <c r="A12" s="28" t="s">
        <v>48</v>
      </c>
      <c r="B12" s="28" t="s">
        <v>53</v>
      </c>
      <c r="C12" s="28" t="s">
        <v>82</v>
      </c>
    </row>
    <row r="13" spans="1:3" x14ac:dyDescent="0.25">
      <c r="A13" s="28" t="s">
        <v>48</v>
      </c>
      <c r="B13" s="28" t="s">
        <v>53</v>
      </c>
      <c r="C13" s="28" t="s">
        <v>83</v>
      </c>
    </row>
    <row r="14" spans="1:3" x14ac:dyDescent="0.25">
      <c r="A14" s="28" t="s">
        <v>48</v>
      </c>
      <c r="B14" s="28" t="s">
        <v>53</v>
      </c>
      <c r="C14" s="28" t="s">
        <v>84</v>
      </c>
    </row>
    <row r="15" spans="1:3" x14ac:dyDescent="0.25">
      <c r="A15" s="28" t="s">
        <v>48</v>
      </c>
      <c r="B15" s="28" t="s">
        <v>53</v>
      </c>
      <c r="C15" s="28" t="s">
        <v>85</v>
      </c>
    </row>
    <row r="16" spans="1:3" x14ac:dyDescent="0.25">
      <c r="A16" s="28" t="s">
        <v>48</v>
      </c>
      <c r="B16" s="28" t="s">
        <v>53</v>
      </c>
      <c r="C16" s="28" t="s">
        <v>86</v>
      </c>
    </row>
    <row r="17" spans="1:3" x14ac:dyDescent="0.25">
      <c r="A17" s="28" t="s">
        <v>48</v>
      </c>
      <c r="B17" s="28" t="s">
        <v>53</v>
      </c>
      <c r="C17" s="28" t="s">
        <v>87</v>
      </c>
    </row>
    <row r="18" spans="1:3" x14ac:dyDescent="0.25">
      <c r="A18" s="28" t="s">
        <v>48</v>
      </c>
      <c r="B18" s="28" t="s">
        <v>53</v>
      </c>
      <c r="C18" s="28" t="s">
        <v>88</v>
      </c>
    </row>
    <row r="19" spans="1:3" x14ac:dyDescent="0.25">
      <c r="A19" s="28" t="s">
        <v>48</v>
      </c>
      <c r="B19" s="28" t="s">
        <v>53</v>
      </c>
      <c r="C19" s="28" t="s">
        <v>89</v>
      </c>
    </row>
    <row r="20" spans="1:3" x14ac:dyDescent="0.25">
      <c r="A20" s="28" t="s">
        <v>48</v>
      </c>
      <c r="B20" s="28" t="s">
        <v>53</v>
      </c>
      <c r="C20" s="28" t="s">
        <v>90</v>
      </c>
    </row>
    <row r="21" spans="1:3" x14ac:dyDescent="0.25">
      <c r="A21" s="28" t="s">
        <v>48</v>
      </c>
      <c r="B21" s="28" t="s">
        <v>53</v>
      </c>
      <c r="C21" s="28" t="s">
        <v>91</v>
      </c>
    </row>
    <row r="22" spans="1:3" x14ac:dyDescent="0.25">
      <c r="A22" s="28" t="s">
        <v>48</v>
      </c>
      <c r="B22" s="28" t="s">
        <v>53</v>
      </c>
      <c r="C22" s="28" t="s">
        <v>92</v>
      </c>
    </row>
    <row r="23" spans="1:3" x14ac:dyDescent="0.25">
      <c r="A23" s="28" t="s">
        <v>48</v>
      </c>
      <c r="B23" s="28" t="s">
        <v>53</v>
      </c>
      <c r="C23" s="28" t="s">
        <v>93</v>
      </c>
    </row>
    <row r="24" spans="1:3" x14ac:dyDescent="0.25">
      <c r="A24" s="28" t="s">
        <v>48</v>
      </c>
      <c r="B24" s="28" t="s">
        <v>53</v>
      </c>
      <c r="C24" s="28" t="s">
        <v>94</v>
      </c>
    </row>
    <row r="25" spans="1:3" x14ac:dyDescent="0.25">
      <c r="A25" s="28" t="s">
        <v>48</v>
      </c>
      <c r="B25" s="28" t="s">
        <v>53</v>
      </c>
      <c r="C25" s="28" t="s">
        <v>95</v>
      </c>
    </row>
    <row r="26" spans="1:3" x14ac:dyDescent="0.25">
      <c r="A26" s="28" t="s">
        <v>48</v>
      </c>
      <c r="B26" s="28" t="s">
        <v>53</v>
      </c>
      <c r="C26" s="28" t="s">
        <v>96</v>
      </c>
    </row>
    <row r="27" spans="1:3" x14ac:dyDescent="0.25">
      <c r="A27" s="28" t="s">
        <v>48</v>
      </c>
      <c r="B27" s="28" t="s">
        <v>53</v>
      </c>
      <c r="C27" s="28" t="s">
        <v>97</v>
      </c>
    </row>
    <row r="28" spans="1:3" x14ac:dyDescent="0.25">
      <c r="A28" s="28" t="s">
        <v>48</v>
      </c>
      <c r="B28" s="28" t="s">
        <v>53</v>
      </c>
      <c r="C28" s="28" t="s">
        <v>98</v>
      </c>
    </row>
    <row r="29" spans="1:3" x14ac:dyDescent="0.25">
      <c r="A29" s="28" t="s">
        <v>48</v>
      </c>
      <c r="B29" s="28" t="s">
        <v>53</v>
      </c>
      <c r="C29" s="28" t="s">
        <v>99</v>
      </c>
    </row>
    <row r="30" spans="1:3" x14ac:dyDescent="0.25">
      <c r="A30" s="28" t="s">
        <v>48</v>
      </c>
      <c r="B30" s="28" t="s">
        <v>53</v>
      </c>
      <c r="C30" s="28" t="s">
        <v>100</v>
      </c>
    </row>
    <row r="31" spans="1:3" x14ac:dyDescent="0.25">
      <c r="A31" s="28" t="s">
        <v>48</v>
      </c>
      <c r="B31" s="28" t="s">
        <v>53</v>
      </c>
      <c r="C31" s="28" t="s">
        <v>101</v>
      </c>
    </row>
    <row r="32" spans="1:3" x14ac:dyDescent="0.25">
      <c r="A32" s="28" t="s">
        <v>48</v>
      </c>
      <c r="B32" s="28" t="s">
        <v>53</v>
      </c>
      <c r="C32" s="28" t="s">
        <v>102</v>
      </c>
    </row>
    <row r="33" spans="1:3" x14ac:dyDescent="0.25">
      <c r="A33" s="28" t="s">
        <v>48</v>
      </c>
      <c r="B33" s="28" t="s">
        <v>53</v>
      </c>
      <c r="C33" s="28" t="s">
        <v>103</v>
      </c>
    </row>
    <row r="34" spans="1:3" x14ac:dyDescent="0.25">
      <c r="A34" s="28" t="s">
        <v>48</v>
      </c>
      <c r="B34" s="28" t="s">
        <v>53</v>
      </c>
      <c r="C34" s="28" t="s">
        <v>104</v>
      </c>
    </row>
    <row r="35" spans="1:3" x14ac:dyDescent="0.25">
      <c r="A35" s="28" t="s">
        <v>48</v>
      </c>
      <c r="B35" s="28" t="s">
        <v>53</v>
      </c>
      <c r="C35" s="28" t="s">
        <v>105</v>
      </c>
    </row>
    <row r="36" spans="1:3" x14ac:dyDescent="0.25">
      <c r="A36" s="28" t="s">
        <v>48</v>
      </c>
      <c r="B36" s="28" t="s">
        <v>53</v>
      </c>
      <c r="C36" s="28" t="s">
        <v>106</v>
      </c>
    </row>
    <row r="37" spans="1:3" x14ac:dyDescent="0.25">
      <c r="A37" s="28" t="s">
        <v>48</v>
      </c>
      <c r="B37" s="28" t="s">
        <v>53</v>
      </c>
      <c r="C37" s="28" t="s">
        <v>107</v>
      </c>
    </row>
    <row r="38" spans="1:3" x14ac:dyDescent="0.25">
      <c r="A38" s="28" t="s">
        <v>48</v>
      </c>
      <c r="B38" s="28" t="s">
        <v>53</v>
      </c>
      <c r="C38" s="28" t="s">
        <v>108</v>
      </c>
    </row>
    <row r="39" spans="1:3" x14ac:dyDescent="0.25">
      <c r="A39" s="28" t="s">
        <v>48</v>
      </c>
      <c r="B39" s="28" t="s">
        <v>53</v>
      </c>
      <c r="C39" s="28" t="s">
        <v>109</v>
      </c>
    </row>
    <row r="40" spans="1:3" x14ac:dyDescent="0.25">
      <c r="A40" s="28" t="s">
        <v>48</v>
      </c>
      <c r="B40" s="28" t="s">
        <v>53</v>
      </c>
      <c r="C40" s="28" t="s">
        <v>110</v>
      </c>
    </row>
    <row r="41" spans="1:3" x14ac:dyDescent="0.25">
      <c r="A41" s="28" t="s">
        <v>48</v>
      </c>
      <c r="B41" s="28" t="s">
        <v>53</v>
      </c>
      <c r="C41" s="28" t="s">
        <v>111</v>
      </c>
    </row>
    <row r="42" spans="1:3" x14ac:dyDescent="0.25">
      <c r="A42" s="28" t="s">
        <v>48</v>
      </c>
      <c r="B42" s="28" t="s">
        <v>53</v>
      </c>
      <c r="C42" s="28" t="s">
        <v>112</v>
      </c>
    </row>
    <row r="43" spans="1:3" x14ac:dyDescent="0.25">
      <c r="A43" s="28" t="s">
        <v>48</v>
      </c>
      <c r="B43" s="28" t="s">
        <v>53</v>
      </c>
      <c r="C43" s="28" t="s">
        <v>113</v>
      </c>
    </row>
    <row r="44" spans="1:3" x14ac:dyDescent="0.25">
      <c r="A44" s="28" t="s">
        <v>48</v>
      </c>
      <c r="B44" s="28" t="s">
        <v>53</v>
      </c>
      <c r="C44" s="28" t="s">
        <v>114</v>
      </c>
    </row>
    <row r="45" spans="1:3" x14ac:dyDescent="0.25">
      <c r="A45" s="28" t="s">
        <v>49</v>
      </c>
      <c r="B45" s="28" t="s">
        <v>54</v>
      </c>
      <c r="C45" s="28" t="s">
        <v>115</v>
      </c>
    </row>
    <row r="46" spans="1:3" x14ac:dyDescent="0.25">
      <c r="A46" s="28" t="s">
        <v>49</v>
      </c>
      <c r="B46" s="28" t="s">
        <v>54</v>
      </c>
      <c r="C46" s="28" t="s">
        <v>116</v>
      </c>
    </row>
    <row r="47" spans="1:3" x14ac:dyDescent="0.25">
      <c r="A47" s="28" t="s">
        <v>49</v>
      </c>
      <c r="B47" s="28" t="s">
        <v>54</v>
      </c>
      <c r="C47" s="28" t="s">
        <v>117</v>
      </c>
    </row>
    <row r="48" spans="1:3" x14ac:dyDescent="0.25">
      <c r="A48" s="28" t="s">
        <v>49</v>
      </c>
      <c r="B48" s="28" t="s">
        <v>54</v>
      </c>
      <c r="C48" s="28" t="s">
        <v>118</v>
      </c>
    </row>
    <row r="49" spans="1:3" x14ac:dyDescent="0.25">
      <c r="A49" s="28" t="s">
        <v>49</v>
      </c>
      <c r="B49" s="28" t="s">
        <v>54</v>
      </c>
      <c r="C49" s="28" t="s">
        <v>119</v>
      </c>
    </row>
    <row r="50" spans="1:3" x14ac:dyDescent="0.25">
      <c r="A50" s="28" t="s">
        <v>49</v>
      </c>
      <c r="B50" s="28" t="s">
        <v>54</v>
      </c>
      <c r="C50" s="28" t="s">
        <v>120</v>
      </c>
    </row>
    <row r="51" spans="1:3" x14ac:dyDescent="0.25">
      <c r="A51" s="28" t="s">
        <v>49</v>
      </c>
      <c r="B51" s="28" t="s">
        <v>54</v>
      </c>
      <c r="C51" s="28" t="s">
        <v>121</v>
      </c>
    </row>
    <row r="52" spans="1:3" x14ac:dyDescent="0.25">
      <c r="A52" s="28" t="s">
        <v>49</v>
      </c>
      <c r="B52" s="28" t="s">
        <v>54</v>
      </c>
      <c r="C52" s="28" t="s">
        <v>122</v>
      </c>
    </row>
    <row r="53" spans="1:3" x14ac:dyDescent="0.25">
      <c r="A53" s="28" t="s">
        <v>49</v>
      </c>
      <c r="B53" s="28" t="s">
        <v>54</v>
      </c>
      <c r="C53" s="28" t="s">
        <v>123</v>
      </c>
    </row>
    <row r="54" spans="1:3" x14ac:dyDescent="0.25">
      <c r="A54" s="28" t="s">
        <v>49</v>
      </c>
      <c r="B54" s="28" t="s">
        <v>54</v>
      </c>
      <c r="C54" s="28" t="s">
        <v>124</v>
      </c>
    </row>
    <row r="55" spans="1:3" x14ac:dyDescent="0.25">
      <c r="A55" s="28" t="s">
        <v>49</v>
      </c>
      <c r="B55" s="28" t="s">
        <v>54</v>
      </c>
      <c r="C55" s="28" t="s">
        <v>125</v>
      </c>
    </row>
    <row r="56" spans="1:3" x14ac:dyDescent="0.25">
      <c r="A56" s="28" t="s">
        <v>49</v>
      </c>
      <c r="B56" s="28" t="s">
        <v>54</v>
      </c>
      <c r="C56" s="28" t="s">
        <v>126</v>
      </c>
    </row>
    <row r="57" spans="1:3" x14ac:dyDescent="0.25">
      <c r="A57" s="28" t="s">
        <v>49</v>
      </c>
      <c r="B57" s="28" t="s">
        <v>54</v>
      </c>
      <c r="C57" s="28" t="s">
        <v>127</v>
      </c>
    </row>
    <row r="58" spans="1:3" x14ac:dyDescent="0.25">
      <c r="A58" s="28" t="s">
        <v>49</v>
      </c>
      <c r="B58" s="28" t="s">
        <v>54</v>
      </c>
      <c r="C58" s="28" t="s">
        <v>128</v>
      </c>
    </row>
    <row r="59" spans="1:3" x14ac:dyDescent="0.25">
      <c r="A59" s="28" t="s">
        <v>49</v>
      </c>
      <c r="B59" s="28" t="s">
        <v>54</v>
      </c>
      <c r="C59" s="28" t="s">
        <v>129</v>
      </c>
    </row>
    <row r="60" spans="1:3" x14ac:dyDescent="0.25">
      <c r="A60" s="28" t="s">
        <v>49</v>
      </c>
      <c r="B60" s="28" t="s">
        <v>54</v>
      </c>
      <c r="C60" s="28" t="s">
        <v>130</v>
      </c>
    </row>
    <row r="61" spans="1:3" x14ac:dyDescent="0.25">
      <c r="A61" s="28" t="s">
        <v>49</v>
      </c>
      <c r="B61" s="28" t="s">
        <v>54</v>
      </c>
      <c r="C61" s="28" t="s">
        <v>131</v>
      </c>
    </row>
    <row r="62" spans="1:3" x14ac:dyDescent="0.25">
      <c r="A62" s="28" t="s">
        <v>49</v>
      </c>
      <c r="B62" s="28" t="s">
        <v>54</v>
      </c>
      <c r="C62" s="28" t="s">
        <v>132</v>
      </c>
    </row>
    <row r="63" spans="1:3" x14ac:dyDescent="0.25">
      <c r="A63" s="28" t="s">
        <v>50</v>
      </c>
      <c r="B63" s="28" t="s">
        <v>55</v>
      </c>
      <c r="C63" s="28" t="s">
        <v>136</v>
      </c>
    </row>
    <row r="64" spans="1:3" x14ac:dyDescent="0.25">
      <c r="A64" s="28" t="s">
        <v>50</v>
      </c>
      <c r="B64" s="28" t="s">
        <v>55</v>
      </c>
      <c r="C64" s="28" t="s">
        <v>137</v>
      </c>
    </row>
    <row r="65" spans="1:3" x14ac:dyDescent="0.25">
      <c r="A65" s="28" t="s">
        <v>50</v>
      </c>
      <c r="B65" s="28" t="s">
        <v>55</v>
      </c>
      <c r="C65" s="28" t="s">
        <v>138</v>
      </c>
    </row>
    <row r="66" spans="1:3" x14ac:dyDescent="0.25">
      <c r="A66" s="28" t="s">
        <v>50</v>
      </c>
      <c r="B66" s="28" t="s">
        <v>55</v>
      </c>
      <c r="C66" s="28" t="s">
        <v>139</v>
      </c>
    </row>
    <row r="67" spans="1:3" x14ac:dyDescent="0.25">
      <c r="A67" s="28" t="s">
        <v>50</v>
      </c>
      <c r="B67" s="28" t="s">
        <v>55</v>
      </c>
      <c r="C67" s="28" t="s">
        <v>140</v>
      </c>
    </row>
    <row r="68" spans="1:3" x14ac:dyDescent="0.25">
      <c r="A68" s="28" t="s">
        <v>50</v>
      </c>
      <c r="B68" s="28" t="s">
        <v>55</v>
      </c>
      <c r="C68" s="28" t="s">
        <v>141</v>
      </c>
    </row>
    <row r="69" spans="1:3" x14ac:dyDescent="0.25">
      <c r="A69" s="28" t="s">
        <v>50</v>
      </c>
      <c r="B69" s="28" t="s">
        <v>55</v>
      </c>
      <c r="C69" s="28" t="s">
        <v>142</v>
      </c>
    </row>
    <row r="70" spans="1:3" x14ac:dyDescent="0.25">
      <c r="A70" s="28" t="s">
        <v>50</v>
      </c>
      <c r="B70" s="28" t="s">
        <v>55</v>
      </c>
      <c r="C70" s="28" t="s">
        <v>143</v>
      </c>
    </row>
    <row r="71" spans="1:3" x14ac:dyDescent="0.25">
      <c r="A71" s="28" t="s">
        <v>50</v>
      </c>
      <c r="B71" s="28" t="s">
        <v>55</v>
      </c>
      <c r="C71" s="28" t="s">
        <v>144</v>
      </c>
    </row>
    <row r="72" spans="1:3" x14ac:dyDescent="0.25">
      <c r="A72" s="28" t="s">
        <v>50</v>
      </c>
      <c r="B72" s="28" t="s">
        <v>55</v>
      </c>
      <c r="C72" s="28" t="s">
        <v>145</v>
      </c>
    </row>
    <row r="73" spans="1:3" x14ac:dyDescent="0.25">
      <c r="A73" s="28" t="s">
        <v>50</v>
      </c>
      <c r="B73" s="28" t="s">
        <v>55</v>
      </c>
      <c r="C73" s="28" t="s">
        <v>146</v>
      </c>
    </row>
    <row r="74" spans="1:3" x14ac:dyDescent="0.25">
      <c r="A74" s="28" t="s">
        <v>50</v>
      </c>
      <c r="B74" s="28" t="s">
        <v>55</v>
      </c>
      <c r="C74" s="28" t="s">
        <v>147</v>
      </c>
    </row>
    <row r="75" spans="1:3" x14ac:dyDescent="0.25">
      <c r="A75" s="28" t="s">
        <v>50</v>
      </c>
      <c r="B75" s="28" t="s">
        <v>55</v>
      </c>
      <c r="C75" s="28" t="s">
        <v>148</v>
      </c>
    </row>
    <row r="76" spans="1:3" x14ac:dyDescent="0.25">
      <c r="A76" s="28" t="s">
        <v>50</v>
      </c>
      <c r="B76" s="28" t="s">
        <v>55</v>
      </c>
      <c r="C76" s="28" t="s">
        <v>149</v>
      </c>
    </row>
    <row r="77" spans="1:3" x14ac:dyDescent="0.25">
      <c r="A77" s="28" t="s">
        <v>50</v>
      </c>
      <c r="B77" s="28" t="s">
        <v>55</v>
      </c>
      <c r="C77" s="28" t="s">
        <v>150</v>
      </c>
    </row>
    <row r="78" spans="1:3" x14ac:dyDescent="0.25">
      <c r="A78" s="28" t="s">
        <v>50</v>
      </c>
      <c r="B78" s="28" t="s">
        <v>55</v>
      </c>
      <c r="C78" s="28" t="s">
        <v>151</v>
      </c>
    </row>
    <row r="79" spans="1:3" x14ac:dyDescent="0.25">
      <c r="A79" s="28" t="s">
        <v>50</v>
      </c>
      <c r="B79" s="28" t="s">
        <v>55</v>
      </c>
      <c r="C79" s="28" t="s">
        <v>152</v>
      </c>
    </row>
    <row r="80" spans="1:3" x14ac:dyDescent="0.25">
      <c r="A80" s="28" t="s">
        <v>50</v>
      </c>
      <c r="B80" s="28" t="s">
        <v>55</v>
      </c>
      <c r="C80" s="28" t="s">
        <v>153</v>
      </c>
    </row>
    <row r="81" spans="1:3" x14ac:dyDescent="0.25">
      <c r="A81" s="28" t="s">
        <v>50</v>
      </c>
      <c r="B81" s="28" t="s">
        <v>55</v>
      </c>
      <c r="C81" s="28" t="s">
        <v>154</v>
      </c>
    </row>
    <row r="82" spans="1:3" x14ac:dyDescent="0.25">
      <c r="A82" s="28" t="s">
        <v>50</v>
      </c>
      <c r="B82" s="28" t="s">
        <v>55</v>
      </c>
      <c r="C82" s="28" t="s">
        <v>155</v>
      </c>
    </row>
    <row r="83" spans="1:3" x14ac:dyDescent="0.25">
      <c r="A83" s="28" t="s">
        <v>50</v>
      </c>
      <c r="B83" s="28" t="s">
        <v>55</v>
      </c>
      <c r="C83" s="28" t="s">
        <v>156</v>
      </c>
    </row>
    <row r="84" spans="1:3" x14ac:dyDescent="0.25">
      <c r="A84" s="28" t="s">
        <v>50</v>
      </c>
      <c r="B84" s="28" t="s">
        <v>55</v>
      </c>
      <c r="C84" s="28" t="s">
        <v>157</v>
      </c>
    </row>
    <row r="85" spans="1:3" x14ac:dyDescent="0.25">
      <c r="A85" s="28" t="s">
        <v>50</v>
      </c>
      <c r="B85" s="28" t="s">
        <v>55</v>
      </c>
      <c r="C85" s="28" t="s">
        <v>158</v>
      </c>
    </row>
    <row r="86" spans="1:3" x14ac:dyDescent="0.25">
      <c r="A86" s="28" t="s">
        <v>50</v>
      </c>
      <c r="B86" s="28" t="s">
        <v>55</v>
      </c>
      <c r="C86" s="28" t="s">
        <v>159</v>
      </c>
    </row>
    <row r="87" spans="1:3" x14ac:dyDescent="0.25">
      <c r="A87" s="28" t="s">
        <v>50</v>
      </c>
      <c r="B87" s="28" t="s">
        <v>55</v>
      </c>
      <c r="C87" s="28" t="s">
        <v>160</v>
      </c>
    </row>
    <row r="88" spans="1:3" x14ac:dyDescent="0.25">
      <c r="A88" s="28" t="s">
        <v>50</v>
      </c>
      <c r="B88" s="28" t="s">
        <v>55</v>
      </c>
      <c r="C88" s="28" t="s">
        <v>161</v>
      </c>
    </row>
    <row r="89" spans="1:3" x14ac:dyDescent="0.25">
      <c r="A89" s="28" t="s">
        <v>50</v>
      </c>
      <c r="B89" s="28" t="s">
        <v>55</v>
      </c>
      <c r="C89" s="28" t="s">
        <v>162</v>
      </c>
    </row>
    <row r="90" spans="1:3" x14ac:dyDescent="0.25">
      <c r="A90" s="28" t="s">
        <v>50</v>
      </c>
      <c r="B90" s="28" t="s">
        <v>55</v>
      </c>
      <c r="C90" s="28" t="s">
        <v>163</v>
      </c>
    </row>
    <row r="91" spans="1:3" x14ac:dyDescent="0.25">
      <c r="A91" s="28" t="s">
        <v>50</v>
      </c>
      <c r="B91" s="28" t="s">
        <v>55</v>
      </c>
      <c r="C91" s="28" t="s">
        <v>164</v>
      </c>
    </row>
    <row r="92" spans="1:3" x14ac:dyDescent="0.25">
      <c r="A92" s="28" t="s">
        <v>50</v>
      </c>
      <c r="B92" s="28" t="s">
        <v>55</v>
      </c>
      <c r="C92" s="28" t="s">
        <v>165</v>
      </c>
    </row>
    <row r="93" spans="1:3" x14ac:dyDescent="0.25">
      <c r="A93" s="28" t="s">
        <v>50</v>
      </c>
      <c r="B93" s="28" t="s">
        <v>55</v>
      </c>
      <c r="C93" s="28" t="s">
        <v>166</v>
      </c>
    </row>
    <row r="94" spans="1:3" x14ac:dyDescent="0.25">
      <c r="A94" s="28" t="s">
        <v>50</v>
      </c>
      <c r="B94" s="28" t="s">
        <v>55</v>
      </c>
      <c r="C94" s="28" t="s">
        <v>167</v>
      </c>
    </row>
    <row r="95" spans="1:3" x14ac:dyDescent="0.25">
      <c r="A95" s="28" t="s">
        <v>50</v>
      </c>
      <c r="B95" s="28" t="s">
        <v>55</v>
      </c>
      <c r="C95" s="28" t="s">
        <v>168</v>
      </c>
    </row>
    <row r="96" spans="1:3" x14ac:dyDescent="0.25">
      <c r="A96" s="28" t="s">
        <v>50</v>
      </c>
      <c r="B96" s="28" t="s">
        <v>55</v>
      </c>
      <c r="C96" s="28" t="s">
        <v>169</v>
      </c>
    </row>
    <row r="97" spans="1:3" x14ac:dyDescent="0.25">
      <c r="A97" s="28" t="s">
        <v>50</v>
      </c>
      <c r="B97" s="28" t="s">
        <v>55</v>
      </c>
      <c r="C97" s="28" t="s">
        <v>170</v>
      </c>
    </row>
    <row r="98" spans="1:3" x14ac:dyDescent="0.25">
      <c r="A98" s="28" t="s">
        <v>50</v>
      </c>
      <c r="B98" s="28" t="s">
        <v>55</v>
      </c>
      <c r="C98" s="28" t="s">
        <v>171</v>
      </c>
    </row>
    <row r="99" spans="1:3" x14ac:dyDescent="0.25">
      <c r="A99" s="28" t="s">
        <v>50</v>
      </c>
      <c r="B99" s="28" t="s">
        <v>55</v>
      </c>
      <c r="C99" s="28" t="s">
        <v>172</v>
      </c>
    </row>
    <row r="100" spans="1:3" x14ac:dyDescent="0.25">
      <c r="A100" s="28" t="s">
        <v>50</v>
      </c>
      <c r="B100" s="28" t="s">
        <v>55</v>
      </c>
      <c r="C100" s="28" t="s">
        <v>173</v>
      </c>
    </row>
    <row r="101" spans="1:3" x14ac:dyDescent="0.25">
      <c r="A101" s="28" t="s">
        <v>50</v>
      </c>
      <c r="B101" s="28" t="s">
        <v>55</v>
      </c>
      <c r="C101" s="28" t="s">
        <v>174</v>
      </c>
    </row>
    <row r="102" spans="1:3" x14ac:dyDescent="0.25">
      <c r="A102" s="28" t="s">
        <v>50</v>
      </c>
      <c r="B102" s="28" t="s">
        <v>55</v>
      </c>
      <c r="C102" s="28" t="s">
        <v>175</v>
      </c>
    </row>
    <row r="103" spans="1:3" x14ac:dyDescent="0.25">
      <c r="A103" s="28" t="s">
        <v>50</v>
      </c>
      <c r="B103" s="28" t="s">
        <v>55</v>
      </c>
      <c r="C103" s="28" t="s">
        <v>176</v>
      </c>
    </row>
    <row r="104" spans="1:3" x14ac:dyDescent="0.25">
      <c r="A104" s="28" t="s">
        <v>50</v>
      </c>
      <c r="B104" s="28" t="s">
        <v>55</v>
      </c>
      <c r="C104" s="28" t="s">
        <v>177</v>
      </c>
    </row>
    <row r="105" spans="1:3" x14ac:dyDescent="0.25">
      <c r="A105" s="28" t="s">
        <v>50</v>
      </c>
      <c r="B105" s="28" t="s">
        <v>55</v>
      </c>
      <c r="C105" s="28" t="s">
        <v>178</v>
      </c>
    </row>
    <row r="106" spans="1:3" x14ac:dyDescent="0.25">
      <c r="A106" s="28" t="s">
        <v>50</v>
      </c>
      <c r="B106" s="28" t="s">
        <v>55</v>
      </c>
      <c r="C106" s="28" t="s">
        <v>179</v>
      </c>
    </row>
    <row r="107" spans="1:3" x14ac:dyDescent="0.25">
      <c r="A107" s="28" t="s">
        <v>50</v>
      </c>
      <c r="B107" s="28" t="s">
        <v>55</v>
      </c>
      <c r="C107" s="28" t="s">
        <v>180</v>
      </c>
    </row>
    <row r="108" spans="1:3" x14ac:dyDescent="0.25">
      <c r="A108" s="28" t="s">
        <v>50</v>
      </c>
      <c r="B108" s="28" t="s">
        <v>55</v>
      </c>
      <c r="C108" s="28" t="s">
        <v>181</v>
      </c>
    </row>
    <row r="109" spans="1:3" x14ac:dyDescent="0.25">
      <c r="A109" s="28" t="s">
        <v>50</v>
      </c>
      <c r="B109" s="28" t="s">
        <v>55</v>
      </c>
      <c r="C109" s="28" t="s">
        <v>182</v>
      </c>
    </row>
    <row r="110" spans="1:3" x14ac:dyDescent="0.25">
      <c r="A110" s="28" t="s">
        <v>50</v>
      </c>
      <c r="B110" s="28" t="s">
        <v>55</v>
      </c>
      <c r="C110" s="28" t="s">
        <v>183</v>
      </c>
    </row>
    <row r="111" spans="1:3" x14ac:dyDescent="0.25">
      <c r="A111" s="28" t="s">
        <v>50</v>
      </c>
      <c r="B111" s="28" t="s">
        <v>55</v>
      </c>
      <c r="C111" s="28" t="s">
        <v>184</v>
      </c>
    </row>
    <row r="112" spans="1:3" x14ac:dyDescent="0.25">
      <c r="A112" s="28" t="s">
        <v>50</v>
      </c>
      <c r="B112" s="28" t="s">
        <v>55</v>
      </c>
      <c r="C112" s="28" t="s">
        <v>185</v>
      </c>
    </row>
    <row r="113" spans="1:3" x14ac:dyDescent="0.25">
      <c r="A113" s="28" t="s">
        <v>50</v>
      </c>
      <c r="B113" s="28" t="s">
        <v>55</v>
      </c>
      <c r="C113" s="28" t="s">
        <v>186</v>
      </c>
    </row>
    <row r="114" spans="1:3" x14ac:dyDescent="0.25">
      <c r="A114" s="28" t="s">
        <v>50</v>
      </c>
      <c r="B114" s="28" t="s">
        <v>55</v>
      </c>
      <c r="C114" s="28" t="s">
        <v>187</v>
      </c>
    </row>
    <row r="115" spans="1:3" x14ac:dyDescent="0.25">
      <c r="A115" s="28" t="s">
        <v>50</v>
      </c>
      <c r="B115" s="28" t="s">
        <v>55</v>
      </c>
      <c r="C115" s="28" t="s">
        <v>188</v>
      </c>
    </row>
    <row r="116" spans="1:3" x14ac:dyDescent="0.25">
      <c r="A116" s="28" t="s">
        <v>50</v>
      </c>
      <c r="B116" s="28" t="s">
        <v>55</v>
      </c>
      <c r="C116" s="28" t="s">
        <v>189</v>
      </c>
    </row>
    <row r="117" spans="1:3" x14ac:dyDescent="0.25">
      <c r="A117" s="28" t="s">
        <v>50</v>
      </c>
      <c r="B117" s="28" t="s">
        <v>55</v>
      </c>
      <c r="C117" s="28" t="s">
        <v>190</v>
      </c>
    </row>
    <row r="118" spans="1:3" x14ac:dyDescent="0.25">
      <c r="A118" s="28" t="s">
        <v>50</v>
      </c>
      <c r="B118" s="28" t="s">
        <v>55</v>
      </c>
      <c r="C118" s="28" t="s">
        <v>191</v>
      </c>
    </row>
    <row r="119" spans="1:3" x14ac:dyDescent="0.25">
      <c r="A119" s="28" t="s">
        <v>50</v>
      </c>
      <c r="B119" s="28" t="s">
        <v>55</v>
      </c>
      <c r="C119" s="28" t="s">
        <v>192</v>
      </c>
    </row>
    <row r="120" spans="1:3" x14ac:dyDescent="0.25">
      <c r="A120" s="28" t="s">
        <v>50</v>
      </c>
      <c r="B120" s="28" t="s">
        <v>55</v>
      </c>
      <c r="C120" s="28" t="s">
        <v>193</v>
      </c>
    </row>
    <row r="121" spans="1:3" x14ac:dyDescent="0.25">
      <c r="A121" s="28" t="s">
        <v>50</v>
      </c>
      <c r="B121" s="28" t="s">
        <v>55</v>
      </c>
      <c r="C121" s="28" t="s">
        <v>194</v>
      </c>
    </row>
    <row r="122" spans="1:3" x14ac:dyDescent="0.25">
      <c r="A122" s="28" t="s">
        <v>50</v>
      </c>
      <c r="B122" s="28" t="s">
        <v>55</v>
      </c>
      <c r="C122" s="28" t="s">
        <v>195</v>
      </c>
    </row>
    <row r="123" spans="1:3" x14ac:dyDescent="0.25">
      <c r="A123" s="28" t="s">
        <v>50</v>
      </c>
      <c r="B123" s="28" t="s">
        <v>55</v>
      </c>
      <c r="C123" s="28" t="s">
        <v>196</v>
      </c>
    </row>
    <row r="124" spans="1:3" x14ac:dyDescent="0.25">
      <c r="A124" s="28" t="s">
        <v>50</v>
      </c>
      <c r="B124" s="28" t="s">
        <v>55</v>
      </c>
      <c r="C124" s="28" t="s">
        <v>197</v>
      </c>
    </row>
    <row r="125" spans="1:3" x14ac:dyDescent="0.25">
      <c r="A125" s="28" t="s">
        <v>50</v>
      </c>
      <c r="B125" s="28" t="s">
        <v>55</v>
      </c>
      <c r="C125" s="28" t="s">
        <v>198</v>
      </c>
    </row>
    <row r="126" spans="1:3" x14ac:dyDescent="0.25">
      <c r="A126" s="28" t="s">
        <v>50</v>
      </c>
      <c r="B126" s="28" t="s">
        <v>55</v>
      </c>
      <c r="C126" s="28" t="s">
        <v>199</v>
      </c>
    </row>
    <row r="127" spans="1:3" x14ac:dyDescent="0.25">
      <c r="A127" s="28" t="s">
        <v>50</v>
      </c>
      <c r="B127" s="28" t="s">
        <v>55</v>
      </c>
      <c r="C127" s="28" t="s">
        <v>200</v>
      </c>
    </row>
    <row r="128" spans="1:3" x14ac:dyDescent="0.25">
      <c r="A128" s="28" t="s">
        <v>50</v>
      </c>
      <c r="B128" s="28" t="s">
        <v>55</v>
      </c>
      <c r="C128" s="28" t="s">
        <v>201</v>
      </c>
    </row>
    <row r="129" spans="1:3" x14ac:dyDescent="0.25">
      <c r="A129" s="28" t="s">
        <v>50</v>
      </c>
      <c r="B129" s="28" t="s">
        <v>55</v>
      </c>
      <c r="C129" s="28" t="s">
        <v>202</v>
      </c>
    </row>
    <row r="130" spans="1:3" x14ac:dyDescent="0.25">
      <c r="A130" s="28" t="s">
        <v>50</v>
      </c>
      <c r="B130" s="28" t="s">
        <v>55</v>
      </c>
      <c r="C130" s="28" t="s">
        <v>203</v>
      </c>
    </row>
    <row r="131" spans="1:3" x14ac:dyDescent="0.25">
      <c r="A131" s="28" t="s">
        <v>50</v>
      </c>
      <c r="B131" s="28" t="s">
        <v>55</v>
      </c>
      <c r="C131" s="28" t="s">
        <v>204</v>
      </c>
    </row>
    <row r="132" spans="1:3" x14ac:dyDescent="0.25">
      <c r="A132" s="28" t="s">
        <v>50</v>
      </c>
      <c r="B132" s="28" t="s">
        <v>55</v>
      </c>
      <c r="C132" s="28" t="s">
        <v>205</v>
      </c>
    </row>
    <row r="133" spans="1:3" x14ac:dyDescent="0.25">
      <c r="A133" s="28" t="s">
        <v>50</v>
      </c>
      <c r="B133" s="28" t="s">
        <v>55</v>
      </c>
      <c r="C133" s="28" t="s">
        <v>206</v>
      </c>
    </row>
    <row r="134" spans="1:3" x14ac:dyDescent="0.25">
      <c r="A134" s="28" t="s">
        <v>50</v>
      </c>
      <c r="B134" s="28" t="s">
        <v>55</v>
      </c>
      <c r="C134" s="28" t="s">
        <v>207</v>
      </c>
    </row>
    <row r="135" spans="1:3" x14ac:dyDescent="0.25">
      <c r="A135" s="28" t="s">
        <v>50</v>
      </c>
      <c r="B135" s="28" t="s">
        <v>55</v>
      </c>
      <c r="C135" s="28" t="s">
        <v>208</v>
      </c>
    </row>
    <row r="136" spans="1:3" x14ac:dyDescent="0.25">
      <c r="A136" s="28" t="s">
        <v>50</v>
      </c>
      <c r="B136" s="28" t="s">
        <v>55</v>
      </c>
      <c r="C136" s="28" t="s">
        <v>209</v>
      </c>
    </row>
    <row r="137" spans="1:3" x14ac:dyDescent="0.25">
      <c r="A137" s="28" t="s">
        <v>50</v>
      </c>
      <c r="B137" s="28" t="s">
        <v>55</v>
      </c>
      <c r="C137" s="28" t="s">
        <v>210</v>
      </c>
    </row>
    <row r="138" spans="1:3" x14ac:dyDescent="0.25">
      <c r="A138" s="28" t="s">
        <v>50</v>
      </c>
      <c r="B138" s="28" t="s">
        <v>55</v>
      </c>
      <c r="C138" s="28" t="s">
        <v>211</v>
      </c>
    </row>
    <row r="139" spans="1:3" x14ac:dyDescent="0.25">
      <c r="A139" s="28" t="s">
        <v>50</v>
      </c>
      <c r="B139" s="28" t="s">
        <v>55</v>
      </c>
      <c r="C139" s="28" t="s">
        <v>212</v>
      </c>
    </row>
    <row r="140" spans="1:3" x14ac:dyDescent="0.25">
      <c r="A140" s="28" t="s">
        <v>50</v>
      </c>
      <c r="B140" s="28" t="s">
        <v>55</v>
      </c>
      <c r="C140" s="28" t="s">
        <v>213</v>
      </c>
    </row>
    <row r="141" spans="1:3" x14ac:dyDescent="0.25">
      <c r="A141" s="28" t="s">
        <v>50</v>
      </c>
      <c r="B141" s="28" t="s">
        <v>55</v>
      </c>
      <c r="C141" s="28" t="s">
        <v>214</v>
      </c>
    </row>
    <row r="142" spans="1:3" x14ac:dyDescent="0.25">
      <c r="A142" s="28" t="s">
        <v>50</v>
      </c>
      <c r="B142" s="28" t="s">
        <v>55</v>
      </c>
      <c r="C142" s="28" t="s">
        <v>215</v>
      </c>
    </row>
    <row r="143" spans="1:3" x14ac:dyDescent="0.25">
      <c r="A143" s="28" t="s">
        <v>50</v>
      </c>
      <c r="B143" s="28" t="s">
        <v>55</v>
      </c>
      <c r="C143" s="28" t="s">
        <v>216</v>
      </c>
    </row>
    <row r="144" spans="1:3" x14ac:dyDescent="0.25">
      <c r="A144" s="28" t="s">
        <v>50</v>
      </c>
      <c r="B144" s="28" t="s">
        <v>55</v>
      </c>
      <c r="C144" s="28" t="s">
        <v>217</v>
      </c>
    </row>
    <row r="145" spans="1:3" x14ac:dyDescent="0.25">
      <c r="A145" s="28" t="s">
        <v>50</v>
      </c>
      <c r="B145" s="28" t="s">
        <v>55</v>
      </c>
      <c r="C145" s="28" t="s">
        <v>218</v>
      </c>
    </row>
    <row r="146" spans="1:3" x14ac:dyDescent="0.25">
      <c r="A146" s="28" t="s">
        <v>50</v>
      </c>
      <c r="B146" s="28" t="s">
        <v>55</v>
      </c>
      <c r="C146" s="28" t="s">
        <v>219</v>
      </c>
    </row>
    <row r="147" spans="1:3" x14ac:dyDescent="0.25">
      <c r="A147" s="28" t="s">
        <v>50</v>
      </c>
      <c r="B147" s="28" t="s">
        <v>55</v>
      </c>
      <c r="C147" s="28" t="s">
        <v>220</v>
      </c>
    </row>
    <row r="148" spans="1:3" x14ac:dyDescent="0.25">
      <c r="A148" s="28" t="s">
        <v>50</v>
      </c>
      <c r="B148" s="28" t="s">
        <v>55</v>
      </c>
      <c r="C148" s="28" t="s">
        <v>221</v>
      </c>
    </row>
    <row r="149" spans="1:3" x14ac:dyDescent="0.25">
      <c r="A149" s="28" t="s">
        <v>50</v>
      </c>
      <c r="B149" s="28" t="s">
        <v>55</v>
      </c>
      <c r="C149" s="28" t="s">
        <v>222</v>
      </c>
    </row>
    <row r="150" spans="1:3" x14ac:dyDescent="0.25">
      <c r="A150" s="28" t="s">
        <v>50</v>
      </c>
      <c r="B150" s="28" t="s">
        <v>55</v>
      </c>
      <c r="C150" s="28" t="s">
        <v>223</v>
      </c>
    </row>
    <row r="151" spans="1:3" x14ac:dyDescent="0.25">
      <c r="A151" s="28" t="s">
        <v>50</v>
      </c>
      <c r="B151" s="28" t="s">
        <v>55</v>
      </c>
      <c r="C151" s="28" t="s">
        <v>224</v>
      </c>
    </row>
    <row r="152" spans="1:3" x14ac:dyDescent="0.25">
      <c r="A152" s="28" t="s">
        <v>50</v>
      </c>
      <c r="B152" s="28" t="s">
        <v>55</v>
      </c>
      <c r="C152" s="28" t="s">
        <v>225</v>
      </c>
    </row>
    <row r="153" spans="1:3" x14ac:dyDescent="0.25">
      <c r="A153" s="28" t="s">
        <v>50</v>
      </c>
      <c r="B153" s="28" t="s">
        <v>55</v>
      </c>
      <c r="C153" s="28" t="s">
        <v>226</v>
      </c>
    </row>
    <row r="154" spans="1:3" x14ac:dyDescent="0.25">
      <c r="A154" s="28" t="s">
        <v>50</v>
      </c>
      <c r="B154" s="28" t="s">
        <v>55</v>
      </c>
      <c r="C154" s="28" t="s">
        <v>227</v>
      </c>
    </row>
    <row r="155" spans="1:3" x14ac:dyDescent="0.25">
      <c r="A155" s="28" t="s">
        <v>50</v>
      </c>
      <c r="B155" s="28" t="s">
        <v>55</v>
      </c>
      <c r="C155" s="28" t="s">
        <v>228</v>
      </c>
    </row>
    <row r="156" spans="1:3" x14ac:dyDescent="0.25">
      <c r="A156" s="28" t="s">
        <v>50</v>
      </c>
      <c r="B156" s="28" t="s">
        <v>55</v>
      </c>
      <c r="C156" s="28" t="s">
        <v>229</v>
      </c>
    </row>
    <row r="157" spans="1:3" x14ac:dyDescent="0.25">
      <c r="A157" s="28" t="s">
        <v>50</v>
      </c>
      <c r="B157" s="28" t="s">
        <v>55</v>
      </c>
      <c r="C157" s="28" t="s">
        <v>230</v>
      </c>
    </row>
    <row r="158" spans="1:3" x14ac:dyDescent="0.25">
      <c r="A158" s="28" t="s">
        <v>50</v>
      </c>
      <c r="B158" s="28" t="s">
        <v>55</v>
      </c>
      <c r="C158" s="28" t="s">
        <v>231</v>
      </c>
    </row>
    <row r="159" spans="1:3" x14ac:dyDescent="0.25">
      <c r="A159" s="28" t="s">
        <v>50</v>
      </c>
      <c r="B159" s="28" t="s">
        <v>55</v>
      </c>
      <c r="C159" s="28" t="s">
        <v>232</v>
      </c>
    </row>
    <row r="160" spans="1:3" x14ac:dyDescent="0.25">
      <c r="A160" s="28" t="s">
        <v>50</v>
      </c>
      <c r="B160" s="28" t="s">
        <v>55</v>
      </c>
      <c r="C160" s="28" t="s">
        <v>233</v>
      </c>
    </row>
    <row r="161" spans="1:3" x14ac:dyDescent="0.25">
      <c r="A161" s="28" t="s">
        <v>50</v>
      </c>
      <c r="B161" s="28" t="s">
        <v>55</v>
      </c>
      <c r="C161" s="28" t="s">
        <v>234</v>
      </c>
    </row>
    <row r="162" spans="1:3" x14ac:dyDescent="0.25">
      <c r="A162" s="28" t="s">
        <v>50</v>
      </c>
      <c r="B162" s="28" t="s">
        <v>55</v>
      </c>
      <c r="C162" s="28" t="s">
        <v>235</v>
      </c>
    </row>
    <row r="163" spans="1:3" x14ac:dyDescent="0.25">
      <c r="A163" s="28" t="s">
        <v>50</v>
      </c>
      <c r="B163" s="28" t="s">
        <v>55</v>
      </c>
      <c r="C163" s="28" t="s">
        <v>236</v>
      </c>
    </row>
    <row r="164" spans="1:3" x14ac:dyDescent="0.25">
      <c r="A164" s="28" t="s">
        <v>50</v>
      </c>
      <c r="B164" s="28" t="s">
        <v>55</v>
      </c>
      <c r="C164" s="28" t="s">
        <v>237</v>
      </c>
    </row>
    <row r="165" spans="1:3" x14ac:dyDescent="0.25">
      <c r="A165" s="28" t="s">
        <v>50</v>
      </c>
      <c r="B165" s="28" t="s">
        <v>55</v>
      </c>
      <c r="C165" s="28" t="s">
        <v>238</v>
      </c>
    </row>
    <row r="166" spans="1:3" x14ac:dyDescent="0.25">
      <c r="A166" s="28" t="s">
        <v>50</v>
      </c>
      <c r="B166" s="28" t="s">
        <v>55</v>
      </c>
      <c r="C166" s="28" t="s">
        <v>239</v>
      </c>
    </row>
    <row r="167" spans="1:3" x14ac:dyDescent="0.25">
      <c r="A167" s="28" t="s">
        <v>50</v>
      </c>
      <c r="B167" s="28" t="s">
        <v>55</v>
      </c>
      <c r="C167" s="28" t="s">
        <v>240</v>
      </c>
    </row>
    <row r="168" spans="1:3" x14ac:dyDescent="0.25">
      <c r="A168" s="28" t="s">
        <v>50</v>
      </c>
      <c r="B168" s="28" t="s">
        <v>55</v>
      </c>
      <c r="C168" s="28" t="s">
        <v>241</v>
      </c>
    </row>
    <row r="169" spans="1:3" x14ac:dyDescent="0.25">
      <c r="A169" s="28" t="s">
        <v>51</v>
      </c>
      <c r="B169" s="28" t="s">
        <v>56</v>
      </c>
      <c r="C169" s="28" t="s">
        <v>242</v>
      </c>
    </row>
    <row r="170" spans="1:3" x14ac:dyDescent="0.25">
      <c r="A170" s="28" t="s">
        <v>51</v>
      </c>
      <c r="B170" s="28" t="s">
        <v>56</v>
      </c>
      <c r="C170" s="28" t="s">
        <v>243</v>
      </c>
    </row>
    <row r="171" spans="1:3" x14ac:dyDescent="0.25">
      <c r="A171" s="28" t="s">
        <v>51</v>
      </c>
      <c r="B171" s="28" t="s">
        <v>56</v>
      </c>
      <c r="C171" s="28" t="s">
        <v>244</v>
      </c>
    </row>
    <row r="172" spans="1:3" x14ac:dyDescent="0.25">
      <c r="A172" s="28" t="s">
        <v>51</v>
      </c>
      <c r="B172" s="28" t="s">
        <v>56</v>
      </c>
      <c r="C172" s="28" t="s">
        <v>245</v>
      </c>
    </row>
    <row r="173" spans="1:3" x14ac:dyDescent="0.25">
      <c r="A173" s="28" t="s">
        <v>51</v>
      </c>
      <c r="B173" s="28" t="s">
        <v>56</v>
      </c>
      <c r="C173" s="28" t="s">
        <v>246</v>
      </c>
    </row>
    <row r="174" spans="1:3" x14ac:dyDescent="0.25">
      <c r="A174" s="28" t="s">
        <v>51</v>
      </c>
      <c r="B174" s="28" t="s">
        <v>56</v>
      </c>
      <c r="C174" s="28" t="s">
        <v>247</v>
      </c>
    </row>
    <row r="175" spans="1:3" x14ac:dyDescent="0.25">
      <c r="A175" s="28" t="s">
        <v>51</v>
      </c>
      <c r="B175" s="28" t="s">
        <v>56</v>
      </c>
      <c r="C175" s="28" t="s">
        <v>248</v>
      </c>
    </row>
    <row r="176" spans="1:3" x14ac:dyDescent="0.25">
      <c r="A176" s="28" t="s">
        <v>51</v>
      </c>
      <c r="B176" s="28" t="s">
        <v>56</v>
      </c>
      <c r="C176" s="28" t="s">
        <v>249</v>
      </c>
    </row>
    <row r="177" spans="1:3" x14ac:dyDescent="0.25">
      <c r="A177" s="28" t="s">
        <v>51</v>
      </c>
      <c r="B177" s="28" t="s">
        <v>56</v>
      </c>
      <c r="C177" s="28" t="s">
        <v>250</v>
      </c>
    </row>
    <row r="178" spans="1:3" x14ac:dyDescent="0.25">
      <c r="A178" s="28" t="s">
        <v>51</v>
      </c>
      <c r="B178" s="28" t="s">
        <v>56</v>
      </c>
      <c r="C178" s="28" t="s">
        <v>251</v>
      </c>
    </row>
    <row r="179" spans="1:3" x14ac:dyDescent="0.25">
      <c r="A179" s="28" t="s">
        <v>51</v>
      </c>
      <c r="B179" s="28" t="s">
        <v>56</v>
      </c>
      <c r="C179" s="28" t="s">
        <v>252</v>
      </c>
    </row>
    <row r="180" spans="1:3" x14ac:dyDescent="0.25">
      <c r="A180" s="28" t="s">
        <v>51</v>
      </c>
      <c r="B180" s="28" t="s">
        <v>56</v>
      </c>
      <c r="C180" s="28" t="s">
        <v>253</v>
      </c>
    </row>
    <row r="181" spans="1:3" x14ac:dyDescent="0.25">
      <c r="A181" s="28" t="s">
        <v>51</v>
      </c>
      <c r="B181" s="28" t="s">
        <v>56</v>
      </c>
      <c r="C181" s="28" t="s">
        <v>254</v>
      </c>
    </row>
    <row r="182" spans="1:3" x14ac:dyDescent="0.25">
      <c r="A182" s="28" t="s">
        <v>51</v>
      </c>
      <c r="B182" s="28" t="s">
        <v>56</v>
      </c>
      <c r="C182" s="28" t="s">
        <v>255</v>
      </c>
    </row>
    <row r="183" spans="1:3" x14ac:dyDescent="0.25">
      <c r="A183" s="28" t="s">
        <v>51</v>
      </c>
      <c r="B183" s="28" t="s">
        <v>56</v>
      </c>
      <c r="C183" s="28" t="s">
        <v>256</v>
      </c>
    </row>
    <row r="184" spans="1:3" x14ac:dyDescent="0.25">
      <c r="A184" s="28" t="s">
        <v>51</v>
      </c>
      <c r="B184" s="28" t="s">
        <v>56</v>
      </c>
      <c r="C184" s="28" t="s">
        <v>257</v>
      </c>
    </row>
    <row r="185" spans="1:3" x14ac:dyDescent="0.25">
      <c r="A185" s="28" t="s">
        <v>51</v>
      </c>
      <c r="B185" s="28" t="s">
        <v>56</v>
      </c>
      <c r="C185" s="28" t="s">
        <v>258</v>
      </c>
    </row>
    <row r="186" spans="1:3" x14ac:dyDescent="0.25">
      <c r="A186" s="28" t="s">
        <v>51</v>
      </c>
      <c r="B186" s="28" t="s">
        <v>56</v>
      </c>
      <c r="C186" s="28" t="s">
        <v>259</v>
      </c>
    </row>
    <row r="187" spans="1:3" x14ac:dyDescent="0.25">
      <c r="A187" s="28" t="s">
        <v>51</v>
      </c>
      <c r="B187" s="28" t="s">
        <v>56</v>
      </c>
      <c r="C187" s="28" t="s">
        <v>260</v>
      </c>
    </row>
    <row r="188" spans="1:3" x14ac:dyDescent="0.25">
      <c r="A188" s="28" t="s">
        <v>51</v>
      </c>
      <c r="B188" s="28" t="s">
        <v>56</v>
      </c>
      <c r="C188" s="28" t="s">
        <v>261</v>
      </c>
    </row>
    <row r="189" spans="1:3" x14ac:dyDescent="0.25">
      <c r="A189" s="28" t="s">
        <v>51</v>
      </c>
      <c r="B189" s="28" t="s">
        <v>56</v>
      </c>
      <c r="C189" s="28" t="s">
        <v>262</v>
      </c>
    </row>
    <row r="190" spans="1:3" x14ac:dyDescent="0.25">
      <c r="A190" s="28" t="s">
        <v>51</v>
      </c>
      <c r="B190" s="28" t="s">
        <v>56</v>
      </c>
      <c r="C190" s="28" t="s">
        <v>263</v>
      </c>
    </row>
    <row r="191" spans="1:3" x14ac:dyDescent="0.25">
      <c r="A191" s="28" t="s">
        <v>51</v>
      </c>
      <c r="B191" s="28" t="s">
        <v>56</v>
      </c>
      <c r="C191" s="28" t="s">
        <v>264</v>
      </c>
    </row>
    <row r="192" spans="1:3" x14ac:dyDescent="0.25">
      <c r="A192" s="28" t="s">
        <v>51</v>
      </c>
      <c r="B192" s="28" t="s">
        <v>56</v>
      </c>
      <c r="C192" s="28" t="s">
        <v>265</v>
      </c>
    </row>
    <row r="193" spans="1:3" x14ac:dyDescent="0.25">
      <c r="A193" s="28" t="s">
        <v>51</v>
      </c>
      <c r="B193" s="28" t="s">
        <v>56</v>
      </c>
      <c r="C193" s="28" t="s">
        <v>266</v>
      </c>
    </row>
    <row r="194" spans="1:3" x14ac:dyDescent="0.25">
      <c r="A194" s="28" t="s">
        <v>51</v>
      </c>
      <c r="B194" s="28" t="s">
        <v>56</v>
      </c>
      <c r="C194" s="28" t="s">
        <v>267</v>
      </c>
    </row>
    <row r="195" spans="1:3" x14ac:dyDescent="0.25">
      <c r="A195" s="28" t="s">
        <v>51</v>
      </c>
      <c r="B195" s="28" t="s">
        <v>56</v>
      </c>
      <c r="C195" s="28" t="s">
        <v>268</v>
      </c>
    </row>
    <row r="196" spans="1:3" x14ac:dyDescent="0.25">
      <c r="A196" s="28" t="s">
        <v>51</v>
      </c>
      <c r="B196" s="28" t="s">
        <v>56</v>
      </c>
      <c r="C196" s="28" t="s">
        <v>269</v>
      </c>
    </row>
    <row r="197" spans="1:3" x14ac:dyDescent="0.25">
      <c r="A197" s="28" t="s">
        <v>51</v>
      </c>
      <c r="B197" s="28" t="s">
        <v>56</v>
      </c>
      <c r="C197" s="28" t="s">
        <v>270</v>
      </c>
    </row>
    <row r="198" spans="1:3" x14ac:dyDescent="0.25">
      <c r="A198" s="28" t="s">
        <v>51</v>
      </c>
      <c r="B198" s="28" t="s">
        <v>56</v>
      </c>
      <c r="C198" s="28" t="s">
        <v>271</v>
      </c>
    </row>
    <row r="199" spans="1:3" x14ac:dyDescent="0.25">
      <c r="A199" s="28" t="s">
        <v>51</v>
      </c>
      <c r="B199" s="28" t="s">
        <v>56</v>
      </c>
      <c r="C199" s="28" t="s">
        <v>272</v>
      </c>
    </row>
    <row r="200" spans="1:3" x14ac:dyDescent="0.25">
      <c r="A200" s="28" t="s">
        <v>51</v>
      </c>
      <c r="B200" s="28" t="s">
        <v>56</v>
      </c>
      <c r="C200" s="28" t="s">
        <v>273</v>
      </c>
    </row>
    <row r="201" spans="1:3" x14ac:dyDescent="0.25">
      <c r="A201" s="28" t="s">
        <v>51</v>
      </c>
      <c r="B201" s="28" t="s">
        <v>56</v>
      </c>
      <c r="C201" s="28" t="s">
        <v>274</v>
      </c>
    </row>
    <row r="202" spans="1:3" x14ac:dyDescent="0.25">
      <c r="A202" s="28" t="s">
        <v>51</v>
      </c>
      <c r="B202" s="28" t="s">
        <v>56</v>
      </c>
      <c r="C202" s="28" t="s">
        <v>275</v>
      </c>
    </row>
    <row r="203" spans="1:3" x14ac:dyDescent="0.25">
      <c r="A203" s="28" t="s">
        <v>51</v>
      </c>
      <c r="B203" s="28" t="s">
        <v>56</v>
      </c>
      <c r="C203" s="28" t="s">
        <v>276</v>
      </c>
    </row>
    <row r="204" spans="1:3" x14ac:dyDescent="0.25">
      <c r="A204" s="28" t="s">
        <v>51</v>
      </c>
      <c r="B204" s="28" t="s">
        <v>56</v>
      </c>
      <c r="C204" s="28" t="s">
        <v>277</v>
      </c>
    </row>
    <row r="205" spans="1:3" x14ac:dyDescent="0.25">
      <c r="A205" s="28" t="s">
        <v>51</v>
      </c>
      <c r="B205" s="28" t="s">
        <v>56</v>
      </c>
      <c r="C205" s="28" t="s">
        <v>278</v>
      </c>
    </row>
    <row r="206" spans="1:3" x14ac:dyDescent="0.25">
      <c r="A206" s="28" t="s">
        <v>51</v>
      </c>
      <c r="B206" s="28" t="s">
        <v>56</v>
      </c>
      <c r="C206" s="28" t="s">
        <v>279</v>
      </c>
    </row>
    <row r="207" spans="1:3" x14ac:dyDescent="0.25">
      <c r="A207" s="28" t="s">
        <v>51</v>
      </c>
      <c r="B207" s="28" t="s">
        <v>56</v>
      </c>
      <c r="C207" s="28" t="s">
        <v>280</v>
      </c>
    </row>
    <row r="208" spans="1:3" x14ac:dyDescent="0.25">
      <c r="A208" s="28" t="s">
        <v>51</v>
      </c>
      <c r="B208" s="28" t="s">
        <v>56</v>
      </c>
      <c r="C208" s="28" t="s">
        <v>281</v>
      </c>
    </row>
    <row r="209" spans="1:3" x14ac:dyDescent="0.25">
      <c r="A209" s="28" t="s">
        <v>51</v>
      </c>
      <c r="B209" s="28" t="s">
        <v>56</v>
      </c>
      <c r="C209" s="28" t="s">
        <v>282</v>
      </c>
    </row>
    <row r="210" spans="1:3" x14ac:dyDescent="0.25">
      <c r="A210" s="28" t="s">
        <v>52</v>
      </c>
      <c r="B210" s="28" t="s">
        <v>57</v>
      </c>
      <c r="C210" s="28" t="s">
        <v>283</v>
      </c>
    </row>
    <row r="211" spans="1:3" x14ac:dyDescent="0.25">
      <c r="A211" s="28" t="s">
        <v>52</v>
      </c>
      <c r="B211" s="28" t="s">
        <v>57</v>
      </c>
      <c r="C211" s="28" t="s">
        <v>284</v>
      </c>
    </row>
    <row r="212" spans="1:3" x14ac:dyDescent="0.25">
      <c r="A212" s="28" t="s">
        <v>52</v>
      </c>
      <c r="B212" s="28" t="s">
        <v>57</v>
      </c>
      <c r="C212" s="28" t="s">
        <v>285</v>
      </c>
    </row>
    <row r="213" spans="1:3" x14ac:dyDescent="0.25">
      <c r="A213" s="28" t="s">
        <v>52</v>
      </c>
      <c r="B213" s="28" t="s">
        <v>57</v>
      </c>
      <c r="C213" s="28" t="s">
        <v>286</v>
      </c>
    </row>
    <row r="214" spans="1:3" x14ac:dyDescent="0.25">
      <c r="A214" s="28" t="s">
        <v>52</v>
      </c>
      <c r="B214" s="28" t="s">
        <v>57</v>
      </c>
      <c r="C214" s="28" t="s">
        <v>287</v>
      </c>
    </row>
    <row r="215" spans="1:3" x14ac:dyDescent="0.25">
      <c r="A215" s="28" t="s">
        <v>52</v>
      </c>
      <c r="B215" s="28" t="s">
        <v>57</v>
      </c>
      <c r="C215" s="28" t="s">
        <v>288</v>
      </c>
    </row>
    <row r="216" spans="1:3" x14ac:dyDescent="0.25">
      <c r="A216" s="28" t="s">
        <v>52</v>
      </c>
      <c r="B216" s="28" t="s">
        <v>57</v>
      </c>
      <c r="C216" s="28" t="s">
        <v>289</v>
      </c>
    </row>
    <row r="217" spans="1:3" x14ac:dyDescent="0.25">
      <c r="A217" s="28" t="s">
        <v>52</v>
      </c>
      <c r="B217" s="28" t="s">
        <v>57</v>
      </c>
      <c r="C217" s="28" t="s">
        <v>290</v>
      </c>
    </row>
    <row r="218" spans="1:3" x14ac:dyDescent="0.25">
      <c r="A218" s="28" t="s">
        <v>52</v>
      </c>
      <c r="B218" s="28" t="s">
        <v>57</v>
      </c>
      <c r="C218" s="28" t="s">
        <v>291</v>
      </c>
    </row>
    <row r="219" spans="1:3" x14ac:dyDescent="0.25">
      <c r="A219" s="28" t="s">
        <v>52</v>
      </c>
      <c r="B219" s="28" t="s">
        <v>57</v>
      </c>
      <c r="C219" s="28" t="s">
        <v>292</v>
      </c>
    </row>
    <row r="220" spans="1:3" x14ac:dyDescent="0.25">
      <c r="A220" s="28" t="s">
        <v>52</v>
      </c>
      <c r="B220" s="28" t="s">
        <v>57</v>
      </c>
      <c r="C220" s="28" t="s">
        <v>293</v>
      </c>
    </row>
    <row r="221" spans="1:3" x14ac:dyDescent="0.25">
      <c r="A221" s="28" t="s">
        <v>52</v>
      </c>
      <c r="B221" s="28" t="s">
        <v>57</v>
      </c>
      <c r="C221" s="28" t="s">
        <v>294</v>
      </c>
    </row>
    <row r="222" spans="1:3" x14ac:dyDescent="0.25">
      <c r="A222" s="28" t="s">
        <v>52</v>
      </c>
      <c r="B222" s="28" t="s">
        <v>57</v>
      </c>
      <c r="C222" s="28" t="s">
        <v>295</v>
      </c>
    </row>
    <row r="223" spans="1:3" x14ac:dyDescent="0.25">
      <c r="A223" s="28" t="s">
        <v>52</v>
      </c>
      <c r="B223" s="28" t="s">
        <v>57</v>
      </c>
      <c r="C223" s="28" t="s">
        <v>296</v>
      </c>
    </row>
    <row r="224" spans="1:3" x14ac:dyDescent="0.25">
      <c r="A224" s="28" t="s">
        <v>52</v>
      </c>
      <c r="B224" s="28" t="s">
        <v>57</v>
      </c>
      <c r="C224" s="28" t="s">
        <v>297</v>
      </c>
    </row>
    <row r="225" spans="1:3" x14ac:dyDescent="0.25">
      <c r="A225" s="28" t="s">
        <v>52</v>
      </c>
      <c r="B225" s="28" t="s">
        <v>57</v>
      </c>
      <c r="C225" s="28" t="s">
        <v>298</v>
      </c>
    </row>
    <row r="226" spans="1:3" x14ac:dyDescent="0.25">
      <c r="A226" s="28" t="s">
        <v>52</v>
      </c>
      <c r="B226" s="28" t="s">
        <v>57</v>
      </c>
      <c r="C226" s="28" t="s">
        <v>299</v>
      </c>
    </row>
    <row r="227" spans="1:3" x14ac:dyDescent="0.25">
      <c r="A227" s="28" t="s">
        <v>52</v>
      </c>
      <c r="B227" s="28" t="s">
        <v>57</v>
      </c>
      <c r="C227" s="28" t="s">
        <v>300</v>
      </c>
    </row>
    <row r="228" spans="1:3" x14ac:dyDescent="0.25">
      <c r="A228" s="28" t="s">
        <v>52</v>
      </c>
      <c r="B228" s="28" t="s">
        <v>57</v>
      </c>
      <c r="C228" s="28" t="s">
        <v>301</v>
      </c>
    </row>
    <row r="229" spans="1:3" x14ac:dyDescent="0.25">
      <c r="A229" s="28" t="s">
        <v>52</v>
      </c>
      <c r="B229" s="28" t="s">
        <v>57</v>
      </c>
      <c r="C229" s="28" t="s">
        <v>302</v>
      </c>
    </row>
    <row r="230" spans="1:3" x14ac:dyDescent="0.25">
      <c r="A230" s="28" t="s">
        <v>52</v>
      </c>
      <c r="B230" s="28" t="s">
        <v>57</v>
      </c>
      <c r="C230" s="28" t="s">
        <v>303</v>
      </c>
    </row>
    <row r="231" spans="1:3" x14ac:dyDescent="0.25">
      <c r="A231" s="28" t="s">
        <v>52</v>
      </c>
      <c r="B231" s="28" t="s">
        <v>57</v>
      </c>
      <c r="C231" s="28" t="s">
        <v>304</v>
      </c>
    </row>
    <row r="232" spans="1:3" x14ac:dyDescent="0.25">
      <c r="A232" s="28" t="s">
        <v>52</v>
      </c>
      <c r="B232" s="28" t="s">
        <v>57</v>
      </c>
      <c r="C232" s="28" t="s">
        <v>305</v>
      </c>
    </row>
    <row r="233" spans="1:3" x14ac:dyDescent="0.25">
      <c r="A233" s="28" t="s">
        <v>52</v>
      </c>
      <c r="B233" s="28" t="s">
        <v>57</v>
      </c>
      <c r="C233" s="28" t="s">
        <v>306</v>
      </c>
    </row>
    <row r="234" spans="1:3" x14ac:dyDescent="0.25">
      <c r="A234" s="28" t="s">
        <v>52</v>
      </c>
      <c r="B234" s="28" t="s">
        <v>57</v>
      </c>
      <c r="C234" s="28" t="s">
        <v>307</v>
      </c>
    </row>
    <row r="235" spans="1:3" x14ac:dyDescent="0.25">
      <c r="A235" s="28" t="s">
        <v>52</v>
      </c>
      <c r="B235" s="28" t="s">
        <v>57</v>
      </c>
      <c r="C235" s="28" t="s">
        <v>308</v>
      </c>
    </row>
    <row r="236" spans="1:3" x14ac:dyDescent="0.25">
      <c r="A236" s="28" t="s">
        <v>52</v>
      </c>
      <c r="B236" s="28" t="s">
        <v>57</v>
      </c>
      <c r="C236" s="28" t="s">
        <v>309</v>
      </c>
    </row>
    <row r="237" spans="1:3" x14ac:dyDescent="0.25">
      <c r="A237" s="28" t="s">
        <v>52</v>
      </c>
      <c r="B237" s="28" t="s">
        <v>57</v>
      </c>
      <c r="C237" s="28" t="s">
        <v>310</v>
      </c>
    </row>
    <row r="238" spans="1:3" x14ac:dyDescent="0.25">
      <c r="A238" s="28" t="s">
        <v>52</v>
      </c>
      <c r="B238" s="28" t="s">
        <v>57</v>
      </c>
      <c r="C238" s="28" t="s">
        <v>311</v>
      </c>
    </row>
    <row r="239" spans="1:3" x14ac:dyDescent="0.25">
      <c r="A239" s="28" t="s">
        <v>52</v>
      </c>
      <c r="B239" s="28" t="s">
        <v>57</v>
      </c>
      <c r="C239" s="28" t="s">
        <v>312</v>
      </c>
    </row>
    <row r="240" spans="1:3" x14ac:dyDescent="0.25">
      <c r="A240" s="28" t="s">
        <v>52</v>
      </c>
      <c r="B240" s="28" t="s">
        <v>57</v>
      </c>
      <c r="C240" s="28" t="s">
        <v>313</v>
      </c>
    </row>
    <row r="241" spans="1:3" x14ac:dyDescent="0.25">
      <c r="A241" s="28" t="s">
        <v>52</v>
      </c>
      <c r="B241" s="28" t="s">
        <v>57</v>
      </c>
      <c r="C241" s="28" t="s">
        <v>314</v>
      </c>
    </row>
    <row r="242" spans="1:3" x14ac:dyDescent="0.25">
      <c r="A242" s="28" t="s">
        <v>52</v>
      </c>
      <c r="B242" s="28" t="s">
        <v>57</v>
      </c>
      <c r="C242" s="28" t="s">
        <v>315</v>
      </c>
    </row>
    <row r="243" spans="1:3" x14ac:dyDescent="0.25">
      <c r="A243" s="28" t="s">
        <v>52</v>
      </c>
      <c r="B243" s="28" t="s">
        <v>57</v>
      </c>
      <c r="C243" s="28" t="s">
        <v>316</v>
      </c>
    </row>
    <row r="244" spans="1:3" x14ac:dyDescent="0.25">
      <c r="A244" s="28" t="s">
        <v>52</v>
      </c>
      <c r="B244" s="28" t="s">
        <v>57</v>
      </c>
      <c r="C244" s="28" t="s">
        <v>317</v>
      </c>
    </row>
    <row r="245" spans="1:3" x14ac:dyDescent="0.25">
      <c r="A245" s="28" t="s">
        <v>52</v>
      </c>
      <c r="B245" s="28" t="s">
        <v>57</v>
      </c>
      <c r="C245" s="28" t="s">
        <v>318</v>
      </c>
    </row>
    <row r="246" spans="1:3" x14ac:dyDescent="0.25">
      <c r="A246" s="28" t="s">
        <v>52</v>
      </c>
      <c r="B246" s="28" t="s">
        <v>57</v>
      </c>
      <c r="C246" s="28" t="s">
        <v>319</v>
      </c>
    </row>
    <row r="247" spans="1:3" x14ac:dyDescent="0.25">
      <c r="A247" s="28" t="s">
        <v>52</v>
      </c>
      <c r="B247" s="28" t="s">
        <v>57</v>
      </c>
      <c r="C247" s="28" t="s">
        <v>320</v>
      </c>
    </row>
    <row r="248" spans="1:3" x14ac:dyDescent="0.25">
      <c r="A248" s="28" t="s">
        <v>52</v>
      </c>
      <c r="B248" s="28" t="s">
        <v>57</v>
      </c>
      <c r="C248" s="28" t="s">
        <v>321</v>
      </c>
    </row>
    <row r="249" spans="1:3" x14ac:dyDescent="0.25">
      <c r="A249" s="28" t="s">
        <v>52</v>
      </c>
      <c r="B249" s="28" t="s">
        <v>57</v>
      </c>
      <c r="C249" s="28" t="s">
        <v>322</v>
      </c>
    </row>
    <row r="250" spans="1:3" x14ac:dyDescent="0.25">
      <c r="A250" s="28" t="s">
        <v>52</v>
      </c>
      <c r="B250" s="28" t="s">
        <v>57</v>
      </c>
      <c r="C250" s="28" t="s">
        <v>323</v>
      </c>
    </row>
    <row r="251" spans="1:3" x14ac:dyDescent="0.25">
      <c r="A251" s="28" t="s">
        <v>52</v>
      </c>
      <c r="B251" s="28" t="s">
        <v>57</v>
      </c>
      <c r="C251" s="28" t="s">
        <v>324</v>
      </c>
    </row>
    <row r="252" spans="1:3" x14ac:dyDescent="0.25">
      <c r="A252" s="28" t="s">
        <v>52</v>
      </c>
      <c r="B252" s="28" t="s">
        <v>57</v>
      </c>
      <c r="C252" s="28" t="s">
        <v>325</v>
      </c>
    </row>
    <row r="253" spans="1:3" x14ac:dyDescent="0.25">
      <c r="A253" s="28" t="s">
        <v>52</v>
      </c>
      <c r="B253" s="28" t="s">
        <v>57</v>
      </c>
      <c r="C253" s="28" t="s">
        <v>326</v>
      </c>
    </row>
    <row r="254" spans="1:3" x14ac:dyDescent="0.25">
      <c r="A254" s="28" t="s">
        <v>52</v>
      </c>
      <c r="B254" s="28" t="s">
        <v>57</v>
      </c>
      <c r="C254" s="28" t="s">
        <v>327</v>
      </c>
    </row>
    <row r="255" spans="1:3" x14ac:dyDescent="0.25">
      <c r="A255" s="28" t="s">
        <v>52</v>
      </c>
      <c r="B255" s="28" t="s">
        <v>57</v>
      </c>
      <c r="C255" s="28" t="s">
        <v>328</v>
      </c>
    </row>
    <row r="256" spans="1:3" x14ac:dyDescent="0.25">
      <c r="A256" s="28" t="s">
        <v>52</v>
      </c>
      <c r="B256" s="28" t="s">
        <v>57</v>
      </c>
      <c r="C256" s="28" t="s">
        <v>329</v>
      </c>
    </row>
    <row r="257" spans="1:3" x14ac:dyDescent="0.25">
      <c r="A257" s="28" t="s">
        <v>52</v>
      </c>
      <c r="B257" s="28" t="s">
        <v>57</v>
      </c>
      <c r="C257" s="28" t="s">
        <v>330</v>
      </c>
    </row>
    <row r="258" spans="1:3" x14ac:dyDescent="0.25">
      <c r="A258" s="28" t="s">
        <v>52</v>
      </c>
      <c r="B258" s="28" t="s">
        <v>57</v>
      </c>
      <c r="C258" s="28" t="s">
        <v>331</v>
      </c>
    </row>
    <row r="259" spans="1:3" x14ac:dyDescent="0.25">
      <c r="A259" s="28" t="s">
        <v>52</v>
      </c>
      <c r="B259" s="28" t="s">
        <v>57</v>
      </c>
      <c r="C259" s="28" t="s">
        <v>332</v>
      </c>
    </row>
    <row r="260" spans="1:3" x14ac:dyDescent="0.25">
      <c r="A260" s="28" t="s">
        <v>52</v>
      </c>
      <c r="B260" s="28" t="s">
        <v>57</v>
      </c>
      <c r="C260" s="28" t="s">
        <v>333</v>
      </c>
    </row>
    <row r="261" spans="1:3" x14ac:dyDescent="0.25">
      <c r="A261" s="28" t="s">
        <v>52</v>
      </c>
      <c r="B261" s="28" t="s">
        <v>57</v>
      </c>
      <c r="C261" s="28" t="s">
        <v>334</v>
      </c>
    </row>
    <row r="262" spans="1:3" x14ac:dyDescent="0.25">
      <c r="A262" s="28" t="s">
        <v>52</v>
      </c>
      <c r="B262" s="28" t="s">
        <v>57</v>
      </c>
      <c r="C262" s="28" t="s">
        <v>335</v>
      </c>
    </row>
    <row r="263" spans="1:3" x14ac:dyDescent="0.25">
      <c r="A263" s="28" t="s">
        <v>52</v>
      </c>
      <c r="B263" s="28" t="s">
        <v>57</v>
      </c>
      <c r="C263" s="28" t="s">
        <v>336</v>
      </c>
    </row>
    <row r="264" spans="1:3" x14ac:dyDescent="0.25">
      <c r="A264" s="28" t="s">
        <v>52</v>
      </c>
      <c r="B264" s="28" t="s">
        <v>57</v>
      </c>
      <c r="C264" s="28" t="s">
        <v>337</v>
      </c>
    </row>
    <row r="265" spans="1:3" x14ac:dyDescent="0.25">
      <c r="A265" s="28" t="s">
        <v>52</v>
      </c>
      <c r="B265" s="28" t="s">
        <v>57</v>
      </c>
      <c r="C265" s="28" t="s">
        <v>338</v>
      </c>
    </row>
    <row r="266" spans="1:3" x14ac:dyDescent="0.25">
      <c r="A266" s="28" t="s">
        <v>52</v>
      </c>
      <c r="B266" s="28" t="s">
        <v>57</v>
      </c>
      <c r="C266" s="28" t="s">
        <v>339</v>
      </c>
    </row>
    <row r="267" spans="1:3" x14ac:dyDescent="0.25">
      <c r="A267" s="28" t="s">
        <v>52</v>
      </c>
      <c r="B267" s="28" t="s">
        <v>57</v>
      </c>
      <c r="C267" s="28" t="s">
        <v>340</v>
      </c>
    </row>
    <row r="268" spans="1:3" x14ac:dyDescent="0.25">
      <c r="A268" s="28" t="s">
        <v>52</v>
      </c>
      <c r="B268" s="28" t="s">
        <v>57</v>
      </c>
      <c r="C268" s="28" t="s">
        <v>341</v>
      </c>
    </row>
    <row r="269" spans="1:3" x14ac:dyDescent="0.25">
      <c r="A269" s="28" t="s">
        <v>52</v>
      </c>
      <c r="B269" s="28" t="s">
        <v>57</v>
      </c>
      <c r="C269" s="28" t="s">
        <v>342</v>
      </c>
    </row>
    <row r="270" spans="1:3" x14ac:dyDescent="0.25">
      <c r="A270" s="28" t="s">
        <v>52</v>
      </c>
      <c r="B270" s="28" t="s">
        <v>57</v>
      </c>
      <c r="C270" s="28" t="s">
        <v>343</v>
      </c>
    </row>
    <row r="271" spans="1:3" x14ac:dyDescent="0.25">
      <c r="A271" s="28" t="s">
        <v>52</v>
      </c>
      <c r="B271" s="28" t="s">
        <v>57</v>
      </c>
      <c r="C271" s="28" t="s">
        <v>344</v>
      </c>
    </row>
    <row r="272" spans="1:3" x14ac:dyDescent="0.25">
      <c r="A272" s="28" t="s">
        <v>52</v>
      </c>
      <c r="B272" s="28" t="s">
        <v>57</v>
      </c>
      <c r="C272" s="28" t="s">
        <v>345</v>
      </c>
    </row>
    <row r="273" spans="1:3" x14ac:dyDescent="0.25">
      <c r="A273" s="28" t="s">
        <v>52</v>
      </c>
      <c r="B273" s="28" t="s">
        <v>57</v>
      </c>
      <c r="C273" s="28" t="s">
        <v>346</v>
      </c>
    </row>
    <row r="274" spans="1:3" x14ac:dyDescent="0.25">
      <c r="A274" s="28" t="s">
        <v>52</v>
      </c>
      <c r="B274" s="28" t="s">
        <v>57</v>
      </c>
      <c r="C274" s="28" t="s">
        <v>347</v>
      </c>
    </row>
    <row r="275" spans="1:3" x14ac:dyDescent="0.25">
      <c r="A275" s="28" t="s">
        <v>52</v>
      </c>
      <c r="B275" s="28" t="s">
        <v>57</v>
      </c>
      <c r="C275" s="28" t="s">
        <v>348</v>
      </c>
    </row>
    <row r="276" spans="1:3" x14ac:dyDescent="0.25">
      <c r="A276" s="28" t="s">
        <v>52</v>
      </c>
      <c r="B276" s="28" t="s">
        <v>57</v>
      </c>
      <c r="C276" s="28" t="s">
        <v>349</v>
      </c>
    </row>
    <row r="277" spans="1:3" x14ac:dyDescent="0.25">
      <c r="A277" s="28" t="s">
        <v>52</v>
      </c>
      <c r="B277" s="28" t="s">
        <v>57</v>
      </c>
      <c r="C277" s="28" t="s">
        <v>350</v>
      </c>
    </row>
    <row r="278" spans="1:3" x14ac:dyDescent="0.25">
      <c r="A278" s="28" t="s">
        <v>52</v>
      </c>
      <c r="B278" s="28" t="s">
        <v>57</v>
      </c>
      <c r="C278" s="28" t="s">
        <v>351</v>
      </c>
    </row>
    <row r="279" spans="1:3" x14ac:dyDescent="0.25">
      <c r="A279" s="28" t="s">
        <v>52</v>
      </c>
      <c r="B279" s="28" t="s">
        <v>57</v>
      </c>
      <c r="C279" s="28" t="s">
        <v>352</v>
      </c>
    </row>
    <row r="280" spans="1:3" x14ac:dyDescent="0.25">
      <c r="A280" s="28" t="s">
        <v>52</v>
      </c>
      <c r="B280" s="28" t="s">
        <v>57</v>
      </c>
      <c r="C280" s="28" t="s">
        <v>353</v>
      </c>
    </row>
    <row r="281" spans="1:3" x14ac:dyDescent="0.25">
      <c r="A281" s="28" t="s">
        <v>52</v>
      </c>
      <c r="B281" s="28" t="s">
        <v>57</v>
      </c>
      <c r="C281" s="28" t="s">
        <v>354</v>
      </c>
    </row>
    <row r="282" spans="1:3" x14ac:dyDescent="0.25">
      <c r="A282" s="28" t="s">
        <v>52</v>
      </c>
      <c r="B282" s="28" t="s">
        <v>57</v>
      </c>
      <c r="C282" s="28" t="s">
        <v>355</v>
      </c>
    </row>
    <row r="283" spans="1:3" x14ac:dyDescent="0.25">
      <c r="A283" s="28" t="s">
        <v>52</v>
      </c>
      <c r="B283" s="28" t="s">
        <v>57</v>
      </c>
      <c r="C283" s="28" t="s">
        <v>356</v>
      </c>
    </row>
    <row r="284" spans="1:3" x14ac:dyDescent="0.25">
      <c r="A284" s="28" t="s">
        <v>52</v>
      </c>
      <c r="B284" s="28" t="s">
        <v>57</v>
      </c>
      <c r="C284" s="28" t="s">
        <v>357</v>
      </c>
    </row>
    <row r="285" spans="1:3" x14ac:dyDescent="0.25">
      <c r="A285" s="28" t="s">
        <v>52</v>
      </c>
      <c r="B285" s="28" t="s">
        <v>57</v>
      </c>
      <c r="C285" s="28" t="s">
        <v>358</v>
      </c>
    </row>
    <row r="286" spans="1:3" x14ac:dyDescent="0.25">
      <c r="A286" s="28" t="s">
        <v>52</v>
      </c>
      <c r="B286" s="28" t="s">
        <v>57</v>
      </c>
      <c r="C286" s="28" t="s">
        <v>359</v>
      </c>
    </row>
    <row r="287" spans="1:3" x14ac:dyDescent="0.25">
      <c r="A287" s="28" t="s">
        <v>52</v>
      </c>
      <c r="B287" s="28" t="s">
        <v>57</v>
      </c>
      <c r="C287" s="28" t="s">
        <v>360</v>
      </c>
    </row>
    <row r="288" spans="1:3" x14ac:dyDescent="0.25">
      <c r="A288" s="28" t="s">
        <v>52</v>
      </c>
      <c r="B288" s="28" t="s">
        <v>57</v>
      </c>
      <c r="C288" s="28" t="s">
        <v>361</v>
      </c>
    </row>
    <row r="289" spans="1:3" x14ac:dyDescent="0.25">
      <c r="A289" s="28" t="s">
        <v>52</v>
      </c>
      <c r="B289" s="28" t="s">
        <v>57</v>
      </c>
      <c r="C289" s="28" t="s">
        <v>362</v>
      </c>
    </row>
    <row r="290" spans="1:3" x14ac:dyDescent="0.25">
      <c r="A290" s="28" t="s">
        <v>52</v>
      </c>
      <c r="B290" s="28" t="s">
        <v>57</v>
      </c>
      <c r="C290" s="28" t="s">
        <v>363</v>
      </c>
    </row>
    <row r="291" spans="1:3" x14ac:dyDescent="0.25">
      <c r="A291" s="28" t="s">
        <v>52</v>
      </c>
      <c r="B291" s="28" t="s">
        <v>57</v>
      </c>
      <c r="C291" s="28" t="s">
        <v>364</v>
      </c>
    </row>
    <row r="292" spans="1:3" x14ac:dyDescent="0.25">
      <c r="A292" s="28" t="s">
        <v>52</v>
      </c>
      <c r="B292" s="28" t="s">
        <v>57</v>
      </c>
      <c r="C292" s="28" t="s">
        <v>365</v>
      </c>
    </row>
    <row r="293" spans="1:3" x14ac:dyDescent="0.25">
      <c r="A293" s="28" t="s">
        <v>52</v>
      </c>
      <c r="B293" s="28" t="s">
        <v>57</v>
      </c>
      <c r="C293" s="28" t="s">
        <v>366</v>
      </c>
    </row>
    <row r="294" spans="1:3" x14ac:dyDescent="0.25">
      <c r="A294" s="28" t="s">
        <v>52</v>
      </c>
      <c r="B294" s="28" t="s">
        <v>57</v>
      </c>
      <c r="C294" s="28" t="s">
        <v>367</v>
      </c>
    </row>
    <row r="295" spans="1:3" x14ac:dyDescent="0.25">
      <c r="A295" s="28" t="s">
        <v>52</v>
      </c>
      <c r="B295" s="28" t="s">
        <v>57</v>
      </c>
      <c r="C295" s="28" t="s">
        <v>368</v>
      </c>
    </row>
    <row r="296" spans="1:3" x14ac:dyDescent="0.25">
      <c r="A296" s="28" t="s">
        <v>52</v>
      </c>
      <c r="B296" s="28" t="s">
        <v>57</v>
      </c>
      <c r="C296" s="28" t="s">
        <v>369</v>
      </c>
    </row>
    <row r="297" spans="1:3" x14ac:dyDescent="0.25">
      <c r="A297" s="28" t="s">
        <v>52</v>
      </c>
      <c r="B297" s="28" t="s">
        <v>57</v>
      </c>
      <c r="C297" s="28" t="s">
        <v>370</v>
      </c>
    </row>
    <row r="298" spans="1:3" x14ac:dyDescent="0.25">
      <c r="A298" s="28" t="s">
        <v>52</v>
      </c>
      <c r="B298" s="28" t="s">
        <v>57</v>
      </c>
      <c r="C298" s="28" t="s">
        <v>371</v>
      </c>
    </row>
    <row r="299" spans="1:3" x14ac:dyDescent="0.25">
      <c r="A299" s="28" t="s">
        <v>52</v>
      </c>
      <c r="B299" s="28" t="s">
        <v>57</v>
      </c>
      <c r="C299" s="28" t="s">
        <v>372</v>
      </c>
    </row>
    <row r="300" spans="1:3" x14ac:dyDescent="0.25">
      <c r="A300" s="28" t="s">
        <v>52</v>
      </c>
      <c r="B300" s="28" t="s">
        <v>57</v>
      </c>
      <c r="C300" s="28" t="s">
        <v>373</v>
      </c>
    </row>
    <row r="301" spans="1:3" x14ac:dyDescent="0.25">
      <c r="A301" s="28" t="s">
        <v>52</v>
      </c>
      <c r="B301" s="28" t="s">
        <v>57</v>
      </c>
      <c r="C301" s="28" t="s">
        <v>374</v>
      </c>
    </row>
    <row r="302" spans="1:3" x14ac:dyDescent="0.25">
      <c r="A302" s="28" t="s">
        <v>52</v>
      </c>
      <c r="B302" s="28" t="s">
        <v>57</v>
      </c>
      <c r="C302" s="28" t="s">
        <v>375</v>
      </c>
    </row>
    <row r="303" spans="1:3" x14ac:dyDescent="0.25">
      <c r="A303" s="28" t="s">
        <v>52</v>
      </c>
      <c r="B303" s="28" t="s">
        <v>57</v>
      </c>
      <c r="C303" s="28" t="s">
        <v>376</v>
      </c>
    </row>
    <row r="304" spans="1:3" x14ac:dyDescent="0.25">
      <c r="A304" s="28" t="s">
        <v>52</v>
      </c>
      <c r="B304" s="28" t="s">
        <v>57</v>
      </c>
      <c r="C304" s="28" t="s">
        <v>377</v>
      </c>
    </row>
    <row r="305" spans="1:3" x14ac:dyDescent="0.25">
      <c r="A305" s="28" t="s">
        <v>52</v>
      </c>
      <c r="B305" s="28" t="s">
        <v>57</v>
      </c>
      <c r="C305" s="28" t="s">
        <v>378</v>
      </c>
    </row>
    <row r="306" spans="1:3" x14ac:dyDescent="0.25">
      <c r="A306" s="28" t="s">
        <v>52</v>
      </c>
      <c r="B306" s="28" t="s">
        <v>57</v>
      </c>
      <c r="C306" s="28" t="s">
        <v>379</v>
      </c>
    </row>
    <row r="307" spans="1:3" x14ac:dyDescent="0.25">
      <c r="A307" s="28" t="s">
        <v>52</v>
      </c>
      <c r="B307" s="28" t="s">
        <v>57</v>
      </c>
      <c r="C307" s="28" t="s">
        <v>380</v>
      </c>
    </row>
    <row r="308" spans="1:3" x14ac:dyDescent="0.25">
      <c r="A308" s="28" t="s">
        <v>52</v>
      </c>
      <c r="B308" s="28" t="s">
        <v>57</v>
      </c>
      <c r="C308" s="28" t="s">
        <v>381</v>
      </c>
    </row>
    <row r="309" spans="1:3" x14ac:dyDescent="0.25">
      <c r="A309" s="28" t="s">
        <v>52</v>
      </c>
      <c r="B309" s="28" t="s">
        <v>57</v>
      </c>
      <c r="C309" s="28" t="s">
        <v>382</v>
      </c>
    </row>
    <row r="310" spans="1:3" x14ac:dyDescent="0.25">
      <c r="A310" s="28" t="s">
        <v>52</v>
      </c>
      <c r="B310" s="28" t="s">
        <v>57</v>
      </c>
      <c r="C310" s="28" t="s">
        <v>383</v>
      </c>
    </row>
    <row r="311" spans="1:3" x14ac:dyDescent="0.25">
      <c r="A311" s="28" t="s">
        <v>52</v>
      </c>
      <c r="B311" s="28" t="s">
        <v>57</v>
      </c>
      <c r="C311" s="28" t="s">
        <v>384</v>
      </c>
    </row>
    <row r="312" spans="1:3" x14ac:dyDescent="0.25">
      <c r="A312" s="28" t="s">
        <v>52</v>
      </c>
      <c r="B312" s="28" t="s">
        <v>57</v>
      </c>
      <c r="C312" s="28" t="s">
        <v>385</v>
      </c>
    </row>
    <row r="313" spans="1:3" x14ac:dyDescent="0.25">
      <c r="A313" s="28" t="s">
        <v>52</v>
      </c>
      <c r="B313" s="28" t="s">
        <v>57</v>
      </c>
      <c r="C313" s="28" t="s">
        <v>386</v>
      </c>
    </row>
    <row r="314" spans="1:3" x14ac:dyDescent="0.25">
      <c r="A314" s="28" t="s">
        <v>52</v>
      </c>
      <c r="B314" s="28" t="s">
        <v>57</v>
      </c>
      <c r="C314" s="28" t="s">
        <v>387</v>
      </c>
    </row>
    <row r="315" spans="1:3" x14ac:dyDescent="0.25">
      <c r="A315" s="28" t="s">
        <v>52</v>
      </c>
      <c r="B315" s="28" t="s">
        <v>57</v>
      </c>
      <c r="C315" s="28" t="s">
        <v>388</v>
      </c>
    </row>
    <row r="316" spans="1:3" x14ac:dyDescent="0.25">
      <c r="A316" s="28" t="s">
        <v>52</v>
      </c>
      <c r="B316" s="28" t="s">
        <v>57</v>
      </c>
      <c r="C316" s="28" t="s">
        <v>389</v>
      </c>
    </row>
    <row r="317" spans="1:3" x14ac:dyDescent="0.25">
      <c r="A317" s="28" t="s">
        <v>52</v>
      </c>
      <c r="B317" s="28" t="s">
        <v>57</v>
      </c>
      <c r="C317" s="28" t="s">
        <v>390</v>
      </c>
    </row>
    <row r="318" spans="1:3" x14ac:dyDescent="0.25">
      <c r="A318" s="28" t="s">
        <v>52</v>
      </c>
      <c r="B318" s="28" t="s">
        <v>57</v>
      </c>
      <c r="C318" s="28" t="s">
        <v>391</v>
      </c>
    </row>
    <row r="319" spans="1:3" x14ac:dyDescent="0.25">
      <c r="A319" s="28" t="s">
        <v>52</v>
      </c>
      <c r="B319" s="28" t="s">
        <v>57</v>
      </c>
      <c r="C319" s="28" t="s">
        <v>392</v>
      </c>
    </row>
    <row r="320" spans="1:3" x14ac:dyDescent="0.25">
      <c r="A320" s="28" t="s">
        <v>52</v>
      </c>
      <c r="B320" s="28" t="s">
        <v>57</v>
      </c>
      <c r="C320" s="28" t="s">
        <v>393</v>
      </c>
    </row>
    <row r="321" spans="1:3" x14ac:dyDescent="0.25">
      <c r="A321" s="28" t="s">
        <v>52</v>
      </c>
      <c r="B321" s="28" t="s">
        <v>57</v>
      </c>
      <c r="C321" s="28" t="s">
        <v>394</v>
      </c>
    </row>
    <row r="322" spans="1:3" x14ac:dyDescent="0.25">
      <c r="A322" s="28" t="s">
        <v>52</v>
      </c>
      <c r="B322" s="28" t="s">
        <v>57</v>
      </c>
      <c r="C322" s="28" t="s">
        <v>395</v>
      </c>
    </row>
    <row r="323" spans="1:3" x14ac:dyDescent="0.25">
      <c r="A323" s="28" t="s">
        <v>52</v>
      </c>
      <c r="B323" s="28" t="s">
        <v>57</v>
      </c>
      <c r="C323" s="28" t="s">
        <v>396</v>
      </c>
    </row>
    <row r="324" spans="1:3" x14ac:dyDescent="0.25">
      <c r="A324" s="28" t="s">
        <v>52</v>
      </c>
      <c r="B324" s="28" t="s">
        <v>57</v>
      </c>
      <c r="C324" s="28" t="s">
        <v>397</v>
      </c>
    </row>
    <row r="325" spans="1:3" x14ac:dyDescent="0.25">
      <c r="A325" s="28" t="s">
        <v>52</v>
      </c>
      <c r="B325" s="28" t="s">
        <v>57</v>
      </c>
      <c r="C325" s="28" t="s">
        <v>398</v>
      </c>
    </row>
    <row r="326" spans="1:3" x14ac:dyDescent="0.25">
      <c r="A326" s="28" t="s">
        <v>52</v>
      </c>
      <c r="B326" s="28" t="s">
        <v>57</v>
      </c>
      <c r="C326" s="28" t="s">
        <v>399</v>
      </c>
    </row>
    <row r="327" spans="1:3" x14ac:dyDescent="0.25">
      <c r="A327" s="28" t="s">
        <v>52</v>
      </c>
      <c r="B327" s="28" t="s">
        <v>57</v>
      </c>
      <c r="C327" s="28" t="s">
        <v>400</v>
      </c>
    </row>
    <row r="328" spans="1:3" x14ac:dyDescent="0.25">
      <c r="A328" s="28" t="s">
        <v>52</v>
      </c>
      <c r="B328" s="28" t="s">
        <v>57</v>
      </c>
      <c r="C328" s="28" t="s">
        <v>401</v>
      </c>
    </row>
    <row r="329" spans="1:3" x14ac:dyDescent="0.25">
      <c r="A329" s="28" t="s">
        <v>52</v>
      </c>
      <c r="B329" s="28" t="s">
        <v>57</v>
      </c>
      <c r="C329" s="28" t="s">
        <v>402</v>
      </c>
    </row>
    <row r="330" spans="1:3" x14ac:dyDescent="0.25">
      <c r="A330" s="28" t="s">
        <v>52</v>
      </c>
      <c r="B330" s="28" t="s">
        <v>57</v>
      </c>
      <c r="C330" s="28" t="s">
        <v>403</v>
      </c>
    </row>
    <row r="331" spans="1:3" x14ac:dyDescent="0.25">
      <c r="A331" s="28" t="s">
        <v>52</v>
      </c>
      <c r="B331" s="28" t="s">
        <v>57</v>
      </c>
      <c r="C331" s="28" t="s">
        <v>404</v>
      </c>
    </row>
    <row r="332" spans="1:3" x14ac:dyDescent="0.25">
      <c r="A332" s="28" t="s">
        <v>52</v>
      </c>
      <c r="B332" s="28" t="s">
        <v>57</v>
      </c>
      <c r="C332" s="28" t="s">
        <v>405</v>
      </c>
    </row>
    <row r="333" spans="1:3" x14ac:dyDescent="0.25">
      <c r="A333" s="28" t="s">
        <v>52</v>
      </c>
      <c r="B333" s="28" t="s">
        <v>57</v>
      </c>
      <c r="C333" s="28" t="s">
        <v>406</v>
      </c>
    </row>
    <row r="334" spans="1:3" x14ac:dyDescent="0.25">
      <c r="A334" s="28" t="s">
        <v>52</v>
      </c>
      <c r="B334" s="28" t="s">
        <v>57</v>
      </c>
      <c r="C334" s="28" t="s">
        <v>407</v>
      </c>
    </row>
    <row r="335" spans="1:3" x14ac:dyDescent="0.25">
      <c r="A335" s="28" t="s">
        <v>52</v>
      </c>
      <c r="B335" s="28" t="s">
        <v>57</v>
      </c>
      <c r="C335" s="28" t="s">
        <v>408</v>
      </c>
    </row>
    <row r="336" spans="1:3" x14ac:dyDescent="0.25">
      <c r="A336" s="28" t="s">
        <v>52</v>
      </c>
      <c r="B336" s="28" t="s">
        <v>57</v>
      </c>
      <c r="C336" s="28" t="s">
        <v>409</v>
      </c>
    </row>
    <row r="337" spans="1:3" x14ac:dyDescent="0.25">
      <c r="A337" s="28" t="s">
        <v>52</v>
      </c>
      <c r="B337" s="28" t="s">
        <v>57</v>
      </c>
      <c r="C337" s="28" t="s">
        <v>410</v>
      </c>
    </row>
    <row r="338" spans="1:3" x14ac:dyDescent="0.25">
      <c r="A338" s="28" t="s">
        <v>52</v>
      </c>
      <c r="B338" s="28" t="s">
        <v>57</v>
      </c>
      <c r="C338" s="28" t="s">
        <v>411</v>
      </c>
    </row>
    <row r="339" spans="1:3" x14ac:dyDescent="0.25">
      <c r="A339" s="28" t="s">
        <v>52</v>
      </c>
      <c r="B339" s="28" t="s">
        <v>57</v>
      </c>
      <c r="C339" s="28" t="s">
        <v>412</v>
      </c>
    </row>
    <row r="340" spans="1:3" x14ac:dyDescent="0.25">
      <c r="A340" s="28" t="s">
        <v>52</v>
      </c>
      <c r="B340" s="28" t="s">
        <v>57</v>
      </c>
      <c r="C340" s="28" t="s">
        <v>413</v>
      </c>
    </row>
    <row r="341" spans="1:3" x14ac:dyDescent="0.25">
      <c r="A341" s="28" t="s">
        <v>52</v>
      </c>
      <c r="B341" s="28" t="s">
        <v>57</v>
      </c>
      <c r="C341" s="28" t="s">
        <v>414</v>
      </c>
    </row>
    <row r="342" spans="1:3" x14ac:dyDescent="0.25">
      <c r="A342" s="28" t="s">
        <v>52</v>
      </c>
      <c r="B342" s="28" t="s">
        <v>57</v>
      </c>
      <c r="C342" s="28" t="s">
        <v>415</v>
      </c>
    </row>
    <row r="343" spans="1:3" x14ac:dyDescent="0.25">
      <c r="A343" s="28" t="s">
        <v>52</v>
      </c>
      <c r="B343" s="28" t="s">
        <v>57</v>
      </c>
      <c r="C343" s="28" t="s">
        <v>416</v>
      </c>
    </row>
    <row r="344" spans="1:3" x14ac:dyDescent="0.25">
      <c r="A344" s="28" t="s">
        <v>52</v>
      </c>
      <c r="B344" s="28" t="s">
        <v>57</v>
      </c>
      <c r="C344" s="28" t="s">
        <v>417</v>
      </c>
    </row>
    <row r="345" spans="1:3" x14ac:dyDescent="0.25">
      <c r="A345" s="28" t="s">
        <v>52</v>
      </c>
      <c r="B345" s="28" t="s">
        <v>57</v>
      </c>
      <c r="C345" s="28" t="s">
        <v>418</v>
      </c>
    </row>
    <row r="346" spans="1:3" x14ac:dyDescent="0.25">
      <c r="A346" s="28" t="s">
        <v>52</v>
      </c>
      <c r="B346" s="28" t="s">
        <v>57</v>
      </c>
      <c r="C346" s="28" t="s">
        <v>419</v>
      </c>
    </row>
    <row r="347" spans="1:3" x14ac:dyDescent="0.25">
      <c r="A347" s="28" t="s">
        <v>52</v>
      </c>
      <c r="B347" s="28" t="s">
        <v>57</v>
      </c>
      <c r="C347" s="28" t="s">
        <v>420</v>
      </c>
    </row>
    <row r="348" spans="1:3" x14ac:dyDescent="0.25">
      <c r="A348" s="28" t="s">
        <v>52</v>
      </c>
      <c r="B348" s="28" t="s">
        <v>57</v>
      </c>
      <c r="C348" s="28" t="s">
        <v>421</v>
      </c>
    </row>
    <row r="349" spans="1:3" x14ac:dyDescent="0.25">
      <c r="A349" s="28" t="s">
        <v>52</v>
      </c>
      <c r="B349" s="28" t="s">
        <v>57</v>
      </c>
      <c r="C349" s="28" t="s">
        <v>422</v>
      </c>
    </row>
    <row r="350" spans="1:3" x14ac:dyDescent="0.25">
      <c r="A350" s="28" t="s">
        <v>52</v>
      </c>
      <c r="B350" s="28" t="s">
        <v>57</v>
      </c>
      <c r="C350" s="28" t="s">
        <v>423</v>
      </c>
    </row>
    <row r="351" spans="1:3" x14ac:dyDescent="0.25">
      <c r="A351" s="28" t="s">
        <v>52</v>
      </c>
      <c r="B351" s="28" t="s">
        <v>57</v>
      </c>
      <c r="C351" s="28" t="s">
        <v>424</v>
      </c>
    </row>
    <row r="352" spans="1:3" x14ac:dyDescent="0.25">
      <c r="A352" s="28" t="s">
        <v>52</v>
      </c>
      <c r="B352" s="28" t="s">
        <v>57</v>
      </c>
      <c r="C352" s="28" t="s">
        <v>425</v>
      </c>
    </row>
    <row r="353" spans="1:3" x14ac:dyDescent="0.25">
      <c r="A353" s="28" t="s">
        <v>52</v>
      </c>
      <c r="B353" s="28" t="s">
        <v>57</v>
      </c>
      <c r="C353" s="28" t="s">
        <v>426</v>
      </c>
    </row>
    <row r="354" spans="1:3" x14ac:dyDescent="0.25">
      <c r="A354" s="28" t="s">
        <v>52</v>
      </c>
      <c r="B354" s="28" t="s">
        <v>57</v>
      </c>
      <c r="C354" s="28" t="s">
        <v>427</v>
      </c>
    </row>
    <row r="355" spans="1:3" x14ac:dyDescent="0.25">
      <c r="A355" s="28" t="s">
        <v>52</v>
      </c>
      <c r="B355" s="28" t="s">
        <v>57</v>
      </c>
      <c r="C355" s="28" t="s">
        <v>428</v>
      </c>
    </row>
    <row r="356" spans="1:3" x14ac:dyDescent="0.25">
      <c r="A356" s="28" t="s">
        <v>52</v>
      </c>
      <c r="B356" s="28" t="s">
        <v>57</v>
      </c>
      <c r="C356" s="28" t="s">
        <v>429</v>
      </c>
    </row>
    <row r="357" spans="1:3" x14ac:dyDescent="0.25">
      <c r="A357" s="28" t="s">
        <v>52</v>
      </c>
      <c r="B357" s="28" t="s">
        <v>57</v>
      </c>
      <c r="C357" s="28" t="s">
        <v>430</v>
      </c>
    </row>
    <row r="358" spans="1:3" x14ac:dyDescent="0.25">
      <c r="A358" s="28" t="s">
        <v>52</v>
      </c>
      <c r="B358" s="28" t="s">
        <v>57</v>
      </c>
      <c r="C358" s="28" t="s">
        <v>431</v>
      </c>
    </row>
    <row r="359" spans="1:3" x14ac:dyDescent="0.25">
      <c r="A359" s="28" t="s">
        <v>52</v>
      </c>
      <c r="B359" s="28" t="s">
        <v>57</v>
      </c>
      <c r="C359" s="28" t="s">
        <v>432</v>
      </c>
    </row>
    <row r="360" spans="1:3" x14ac:dyDescent="0.25">
      <c r="A360" s="28" t="s">
        <v>52</v>
      </c>
      <c r="B360" s="28" t="s">
        <v>57</v>
      </c>
      <c r="C360" s="28" t="s">
        <v>433</v>
      </c>
    </row>
    <row r="361" spans="1:3" x14ac:dyDescent="0.25">
      <c r="A361" s="28" t="s">
        <v>52</v>
      </c>
      <c r="B361" s="28" t="s">
        <v>57</v>
      </c>
      <c r="C361" s="28" t="s">
        <v>434</v>
      </c>
    </row>
    <row r="362" spans="1:3" x14ac:dyDescent="0.25">
      <c r="A362" s="28" t="s">
        <v>52</v>
      </c>
      <c r="B362" s="28" t="s">
        <v>57</v>
      </c>
      <c r="C362" s="28" t="s">
        <v>435</v>
      </c>
    </row>
    <row r="363" spans="1:3" x14ac:dyDescent="0.25">
      <c r="A363" s="28" t="s">
        <v>52</v>
      </c>
      <c r="B363" s="28" t="s">
        <v>57</v>
      </c>
      <c r="C363" s="28" t="s">
        <v>436</v>
      </c>
    </row>
    <row r="364" spans="1:3" x14ac:dyDescent="0.25">
      <c r="A364" s="28" t="s">
        <v>52</v>
      </c>
      <c r="B364" s="28" t="s">
        <v>57</v>
      </c>
      <c r="C364" s="28" t="s">
        <v>437</v>
      </c>
    </row>
    <row r="365" spans="1:3" x14ac:dyDescent="0.25">
      <c r="A365" s="28" t="s">
        <v>52</v>
      </c>
      <c r="B365" s="28" t="s">
        <v>57</v>
      </c>
      <c r="C365" s="28" t="s">
        <v>438</v>
      </c>
    </row>
    <row r="366" spans="1:3" x14ac:dyDescent="0.25">
      <c r="A366" s="28" t="s">
        <v>52</v>
      </c>
      <c r="B366" s="28" t="s">
        <v>57</v>
      </c>
      <c r="C366" s="28" t="s">
        <v>439</v>
      </c>
    </row>
    <row r="367" spans="1:3" x14ac:dyDescent="0.25">
      <c r="A367" s="28" t="s">
        <v>52</v>
      </c>
      <c r="B367" s="28" t="s">
        <v>57</v>
      </c>
      <c r="C367" s="28" t="s">
        <v>440</v>
      </c>
    </row>
    <row r="368" spans="1:3" x14ac:dyDescent="0.25">
      <c r="A368" s="28" t="s">
        <v>52</v>
      </c>
      <c r="B368" s="28" t="s">
        <v>57</v>
      </c>
      <c r="C368" s="28" t="s">
        <v>441</v>
      </c>
    </row>
    <row r="369" spans="1:3" x14ac:dyDescent="0.25">
      <c r="A369" s="28" t="s">
        <v>52</v>
      </c>
      <c r="B369" s="28" t="s">
        <v>57</v>
      </c>
      <c r="C369" s="28" t="s">
        <v>442</v>
      </c>
    </row>
    <row r="370" spans="1:3" x14ac:dyDescent="0.25">
      <c r="A370" s="28" t="s">
        <v>52</v>
      </c>
      <c r="B370" s="28" t="s">
        <v>57</v>
      </c>
      <c r="C370" s="28" t="s">
        <v>443</v>
      </c>
    </row>
    <row r="371" spans="1:3" x14ac:dyDescent="0.25">
      <c r="A371" s="28" t="s">
        <v>52</v>
      </c>
      <c r="B371" s="28" t="s">
        <v>57</v>
      </c>
      <c r="C371" s="28" t="s">
        <v>444</v>
      </c>
    </row>
    <row r="372" spans="1:3" x14ac:dyDescent="0.25">
      <c r="A372" s="28" t="s">
        <v>52</v>
      </c>
      <c r="B372" s="28" t="s">
        <v>57</v>
      </c>
      <c r="C372" s="28" t="s">
        <v>445</v>
      </c>
    </row>
    <row r="373" spans="1:3" x14ac:dyDescent="0.25">
      <c r="A373" s="28" t="s">
        <v>52</v>
      </c>
      <c r="B373" s="28" t="s">
        <v>57</v>
      </c>
      <c r="C373" s="28" t="s">
        <v>446</v>
      </c>
    </row>
    <row r="374" spans="1:3" x14ac:dyDescent="0.25">
      <c r="A374" s="28" t="s">
        <v>52</v>
      </c>
      <c r="B374" s="28" t="s">
        <v>57</v>
      </c>
      <c r="C374" s="28" t="s">
        <v>447</v>
      </c>
    </row>
    <row r="375" spans="1:3" x14ac:dyDescent="0.25">
      <c r="A375" s="28" t="s">
        <v>52</v>
      </c>
      <c r="B375" s="28" t="s">
        <v>57</v>
      </c>
      <c r="C375" s="28" t="s">
        <v>448</v>
      </c>
    </row>
    <row r="376" spans="1:3" x14ac:dyDescent="0.25">
      <c r="A376" s="28" t="s">
        <v>52</v>
      </c>
      <c r="B376" s="28" t="s">
        <v>57</v>
      </c>
      <c r="C376" s="28" t="s">
        <v>449</v>
      </c>
    </row>
    <row r="377" spans="1:3" x14ac:dyDescent="0.25">
      <c r="A377" s="28" t="s">
        <v>52</v>
      </c>
      <c r="B377" s="28" t="s">
        <v>57</v>
      </c>
      <c r="C377" s="28" t="s">
        <v>450</v>
      </c>
    </row>
    <row r="378" spans="1:3" x14ac:dyDescent="0.25">
      <c r="A378" s="28" t="s">
        <v>52</v>
      </c>
      <c r="B378" s="28" t="s">
        <v>57</v>
      </c>
      <c r="C378" s="28" t="s">
        <v>451</v>
      </c>
    </row>
    <row r="379" spans="1:3" x14ac:dyDescent="0.25">
      <c r="A379" s="28" t="s">
        <v>52</v>
      </c>
      <c r="B379" s="28" t="s">
        <v>57</v>
      </c>
      <c r="C379" s="28" t="s">
        <v>452</v>
      </c>
    </row>
    <row r="380" spans="1:3" x14ac:dyDescent="0.25">
      <c r="A380" s="28" t="s">
        <v>52</v>
      </c>
      <c r="B380" s="28" t="s">
        <v>57</v>
      </c>
      <c r="C380" s="28" t="s">
        <v>453</v>
      </c>
    </row>
    <row r="381" spans="1:3" x14ac:dyDescent="0.25">
      <c r="A381" s="28" t="s">
        <v>52</v>
      </c>
      <c r="B381" s="28" t="s">
        <v>57</v>
      </c>
      <c r="C381" s="28" t="s">
        <v>454</v>
      </c>
    </row>
    <row r="382" spans="1:3" x14ac:dyDescent="0.25">
      <c r="A382" s="28" t="s">
        <v>52</v>
      </c>
      <c r="B382" s="28" t="s">
        <v>57</v>
      </c>
      <c r="C382" s="28" t="s">
        <v>455</v>
      </c>
    </row>
    <row r="383" spans="1:3" x14ac:dyDescent="0.25">
      <c r="A383" s="28" t="s">
        <v>52</v>
      </c>
      <c r="B383" s="28" t="s">
        <v>57</v>
      </c>
      <c r="C383" s="28" t="s">
        <v>456</v>
      </c>
    </row>
    <row r="384" spans="1:3" x14ac:dyDescent="0.25">
      <c r="A384" s="28" t="s">
        <v>52</v>
      </c>
      <c r="B384" s="28" t="s">
        <v>57</v>
      </c>
      <c r="C384" s="28" t="s">
        <v>457</v>
      </c>
    </row>
    <row r="385" spans="1:3" x14ac:dyDescent="0.25">
      <c r="A385" s="28" t="s">
        <v>52</v>
      </c>
      <c r="B385" s="28" t="s">
        <v>57</v>
      </c>
      <c r="C385" s="28" t="s">
        <v>458</v>
      </c>
    </row>
    <row r="386" spans="1:3" x14ac:dyDescent="0.25">
      <c r="A386" s="28" t="s">
        <v>52</v>
      </c>
      <c r="B386" s="28" t="s">
        <v>57</v>
      </c>
      <c r="C386" s="28" t="s">
        <v>459</v>
      </c>
    </row>
    <row r="387" spans="1:3" x14ac:dyDescent="0.25">
      <c r="A387" s="28" t="s">
        <v>52</v>
      </c>
      <c r="B387" s="28" t="s">
        <v>57</v>
      </c>
      <c r="C387" s="28" t="s">
        <v>460</v>
      </c>
    </row>
    <row r="388" spans="1:3" x14ac:dyDescent="0.25">
      <c r="A388" s="28" t="s">
        <v>52</v>
      </c>
      <c r="B388" s="28" t="s">
        <v>57</v>
      </c>
      <c r="C388" s="28" t="s">
        <v>461</v>
      </c>
    </row>
    <row r="389" spans="1:3" x14ac:dyDescent="0.25">
      <c r="A389" s="28" t="s">
        <v>52</v>
      </c>
      <c r="B389" s="28" t="s">
        <v>57</v>
      </c>
      <c r="C389" s="28" t="s">
        <v>462</v>
      </c>
    </row>
    <row r="390" spans="1:3" x14ac:dyDescent="0.25">
      <c r="A390" s="28" t="s">
        <v>52</v>
      </c>
      <c r="B390" s="28" t="s">
        <v>57</v>
      </c>
      <c r="C390" s="28" t="s">
        <v>463</v>
      </c>
    </row>
    <row r="391" spans="1:3" x14ac:dyDescent="0.25">
      <c r="A391" s="28" t="s">
        <v>52</v>
      </c>
      <c r="B391" s="28" t="s">
        <v>57</v>
      </c>
      <c r="C391" s="28" t="s">
        <v>464</v>
      </c>
    </row>
    <row r="392" spans="1:3" x14ac:dyDescent="0.25">
      <c r="A392" s="28" t="s">
        <v>52</v>
      </c>
      <c r="B392" s="28" t="s">
        <v>57</v>
      </c>
      <c r="C392" s="28" t="s">
        <v>465</v>
      </c>
    </row>
    <row r="393" spans="1:3" x14ac:dyDescent="0.25">
      <c r="A393" s="28" t="s">
        <v>52</v>
      </c>
      <c r="B393" s="28" t="s">
        <v>57</v>
      </c>
      <c r="C393" s="28" t="s">
        <v>466</v>
      </c>
    </row>
    <row r="394" spans="1:3" x14ac:dyDescent="0.25">
      <c r="A394" s="28" t="s">
        <v>52</v>
      </c>
      <c r="B394" s="28" t="s">
        <v>57</v>
      </c>
      <c r="C394" s="28" t="s">
        <v>467</v>
      </c>
    </row>
    <row r="395" spans="1:3" x14ac:dyDescent="0.25">
      <c r="A395" s="28" t="s">
        <v>52</v>
      </c>
      <c r="B395" s="28" t="s">
        <v>57</v>
      </c>
      <c r="C395" s="28" t="s">
        <v>468</v>
      </c>
    </row>
    <row r="396" spans="1:3" x14ac:dyDescent="0.25">
      <c r="A396" s="28" t="s">
        <v>52</v>
      </c>
      <c r="B396" s="28" t="s">
        <v>57</v>
      </c>
      <c r="C396" s="28" t="s">
        <v>469</v>
      </c>
    </row>
    <row r="397" spans="1:3" x14ac:dyDescent="0.25">
      <c r="A397" s="28" t="s">
        <v>52</v>
      </c>
      <c r="B397" s="28" t="s">
        <v>57</v>
      </c>
      <c r="C397" s="28" t="s">
        <v>470</v>
      </c>
    </row>
    <row r="398" spans="1:3" x14ac:dyDescent="0.25">
      <c r="A398" s="28" t="s">
        <v>52</v>
      </c>
      <c r="B398" s="28" t="s">
        <v>57</v>
      </c>
      <c r="C398" s="28" t="s">
        <v>471</v>
      </c>
    </row>
    <row r="399" spans="1:3" x14ac:dyDescent="0.25">
      <c r="A399" s="28" t="s">
        <v>52</v>
      </c>
      <c r="B399" s="28" t="s">
        <v>57</v>
      </c>
      <c r="C399" s="28" t="s">
        <v>472</v>
      </c>
    </row>
    <row r="400" spans="1:3" x14ac:dyDescent="0.25">
      <c r="A400" s="28" t="s">
        <v>52</v>
      </c>
      <c r="B400" s="28" t="s">
        <v>57</v>
      </c>
      <c r="C400" s="28" t="s">
        <v>473</v>
      </c>
    </row>
    <row r="401" spans="1:3" x14ac:dyDescent="0.25">
      <c r="A401" s="28" t="s">
        <v>52</v>
      </c>
      <c r="B401" s="28" t="s">
        <v>57</v>
      </c>
      <c r="C401" s="28" t="s">
        <v>474</v>
      </c>
    </row>
    <row r="402" spans="1:3" x14ac:dyDescent="0.25">
      <c r="A402" s="28" t="s">
        <v>52</v>
      </c>
      <c r="B402" s="28" t="s">
        <v>57</v>
      </c>
      <c r="C402" s="28" t="s">
        <v>475</v>
      </c>
    </row>
    <row r="403" spans="1:3" x14ac:dyDescent="0.25">
      <c r="A403" s="28" t="s">
        <v>52</v>
      </c>
      <c r="B403" s="28" t="s">
        <v>57</v>
      </c>
      <c r="C403" s="28" t="s">
        <v>476</v>
      </c>
    </row>
    <row r="404" spans="1:3" x14ac:dyDescent="0.25">
      <c r="A404" s="28" t="s">
        <v>52</v>
      </c>
      <c r="B404" s="28" t="s">
        <v>57</v>
      </c>
      <c r="C404" s="28" t="s">
        <v>477</v>
      </c>
    </row>
    <row r="405" spans="1:3" x14ac:dyDescent="0.25">
      <c r="A405" s="28" t="s">
        <v>52</v>
      </c>
      <c r="B405" s="28" t="s">
        <v>57</v>
      </c>
      <c r="C405" s="28" t="s">
        <v>478</v>
      </c>
    </row>
    <row r="406" spans="1:3" x14ac:dyDescent="0.25">
      <c r="A406" s="28" t="s">
        <v>52</v>
      </c>
      <c r="B406" s="28" t="s">
        <v>57</v>
      </c>
      <c r="C406" s="28" t="s">
        <v>479</v>
      </c>
    </row>
    <row r="407" spans="1:3" x14ac:dyDescent="0.25">
      <c r="A407" s="28" t="s">
        <v>52</v>
      </c>
      <c r="B407" s="28" t="s">
        <v>57</v>
      </c>
      <c r="C407" s="28" t="s">
        <v>480</v>
      </c>
    </row>
    <row r="408" spans="1:3" x14ac:dyDescent="0.25">
      <c r="A408" s="28" t="s">
        <v>52</v>
      </c>
      <c r="B408" s="28" t="s">
        <v>57</v>
      </c>
      <c r="C408" s="28" t="s">
        <v>481</v>
      </c>
    </row>
    <row r="409" spans="1:3" x14ac:dyDescent="0.25">
      <c r="A409" s="28" t="s">
        <v>52</v>
      </c>
      <c r="B409" s="28" t="s">
        <v>57</v>
      </c>
      <c r="C409" s="28" t="s">
        <v>482</v>
      </c>
    </row>
    <row r="410" spans="1:3" x14ac:dyDescent="0.25">
      <c r="A410" s="28" t="s">
        <v>52</v>
      </c>
      <c r="B410" s="28" t="s">
        <v>57</v>
      </c>
      <c r="C410" s="28" t="s">
        <v>483</v>
      </c>
    </row>
    <row r="411" spans="1:3" x14ac:dyDescent="0.25">
      <c r="A411" s="28" t="s">
        <v>52</v>
      </c>
      <c r="B411" s="28" t="s">
        <v>57</v>
      </c>
      <c r="C411" s="28" t="s">
        <v>484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923C-95A5-44F6-BCC1-6F9FBFEF8573}">
  <ds:schemaRefs>
    <ds:schemaRef ds:uri="ab2e9cef-f5ae-4fca-a593-546d369e670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3EF31C4-7E82-4D39-8D06-BF8A4D7E7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Document History</vt:lpstr>
      <vt:lpstr>Spec</vt:lpstr>
      <vt:lpstr>JSON Request-Response</vt:lpstr>
      <vt:lpstr>欄位選單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陳筱雅-核心應用部-永豐銀行</cp:lastModifiedBy>
  <cp:revision/>
  <dcterms:created xsi:type="dcterms:W3CDTF">2020-03-13T10:54:50Z</dcterms:created>
  <dcterms:modified xsi:type="dcterms:W3CDTF">2023-10-25T09:44:32Z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