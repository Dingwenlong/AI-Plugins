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放款/"/>
    </mc:Choice>
  </mc:AlternateContent>
  <xr:revisionPtr revIDLastSave="0" documentId="13_ncr:1_{84EDA2AF-DFA5-4E48-8C1E-BA5DF3275EFE}" xr6:coauthVersionLast="36" xr6:coauthVersionMax="47" xr10:uidLastSave="{00000000-0000-0000-0000-000000000000}"/>
  <bookViews>
    <workbookView xWindow="-118" yWindow="-118" windowWidth="25370" windowHeight="13759" firstSheet="1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<sst xmlns="http://schemas.openxmlformats.org/spreadsheetml/2006/main" count="470" uniqueCount="358">
  <si>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</si>
  <si>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</si>
  <si>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</si>
  <si>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</si>
  <si>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</si>
  <si>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</si>
  <si>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</si>
  <si>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</si>
  <si>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</si>
  <si>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翁崇閔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</si>
  <si>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</si>
  <si>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</si>
  <si>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EL0004</t>
    <phoneticPr fontId="3" type="noConversion"/>
  </si>
  <si>
    <t>Description</t>
    <phoneticPr fontId="3" type="noConversion"/>
  </si>
  <si>
    <r>
      <rPr>
        <sz val="11"/>
        <color theme="1"/>
        <rFont val="微軟正黑體"/>
        <family val="2"/>
        <charset val="136"/>
      </rPr>
      <t>截至當日應繳金額查詢</t>
    </r>
    <phoneticPr fontId="3" type="noConversion"/>
  </si>
  <si>
    <t>URL</t>
  </si>
  <si>
    <t>Header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</si>
  <si>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微軟正黑體"/>
        <family val="2"/>
        <charset val="136"/>
      </rPr>
      <t xml:space="preserve">查詢回饋的ID，以unique id + ',' + page_size 組成，查詢相同條件切不同頁面時，可配合回傳page_token + page_start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</si>
  <si>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</si>
  <si>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</si>
  <si>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</si>
  <si>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</si>
  <si>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</si>
  <si>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TMB.LN.LD.REPAY.DETAIL</t>
    <phoneticPr fontId="3" type="noConversion"/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</si>
  <si>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</si>
  <si>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</si>
  <si>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</si>
  <si>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</si>
  <si>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</si>
  <si>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T.LN.ALT.NO</t>
  </si>
  <si>
    <t>EnqTLnAltNo</t>
  </si>
  <si>
    <t>EQ</t>
    <phoneticPr fontId="3" type="noConversion"/>
  </si>
  <si>
    <t>T.VIRTUAL.AC</t>
  </si>
  <si>
    <t>EnqTVirtualAc</t>
  </si>
  <si>
    <t>EQ</t>
  </si>
  <si>
    <t>REPAY.DATE</t>
  </si>
  <si>
    <t>EnqRepayDate</t>
  </si>
  <si>
    <t>V</t>
    <phoneticPr fontId="3" type="noConversion"/>
  </si>
  <si>
    <t>TYPE.NO</t>
  </si>
  <si>
    <t>EnqTypeNo</t>
  </si>
  <si>
    <t>EARLY.PR</t>
  </si>
  <si>
    <t>EnqEarlyPr</t>
  </si>
  <si>
    <t>REPAY.TIME</t>
  </si>
  <si>
    <t>EnqRepayTime</t>
  </si>
  <si>
    <t>FLEX.TERM</t>
  </si>
  <si>
    <t>EnqFlexTerm</t>
  </si>
  <si>
    <t>FLEX.INSTAMT</t>
  </si>
  <si>
    <t>EnqFlexInstamt</t>
  </si>
  <si>
    <t>ENQ.ASSOCIATE.LD</t>
  </si>
  <si>
    <t>EnqAssociateLd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</si>
  <si>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</si>
  <si>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</si>
  <si>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</si>
  <si>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</si>
  <si>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</si>
  <si>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</si>
  <si>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</si>
  <si>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</si>
  <si>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</si>
  <si>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</si>
  <si>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</si>
  <si>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</si>
  <si>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</si>
  <si>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</si>
  <si>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T.MNEMONIC</t>
  </si>
  <si>
    <t>EnqTMnemonic</t>
  </si>
  <si>
    <t>35L</t>
    <phoneticPr fontId="3" type="noConversion"/>
  </si>
  <si>
    <r>
      <rPr>
        <sz val="11"/>
        <color theme="1"/>
        <rFont val="微軟正黑體"/>
        <family val="2"/>
        <charset val="136"/>
      </rPr>
      <t>客戶統編</t>
    </r>
  </si>
  <si>
    <t>Customer ID number</t>
    <phoneticPr fontId="3" type="noConversion"/>
  </si>
  <si>
    <t>NAME.1</t>
  </si>
  <si>
    <t>EnqName1</t>
  </si>
  <si>
    <r>
      <rPr>
        <sz val="11"/>
        <color theme="1"/>
        <rFont val="微軟正黑體"/>
        <family val="2"/>
        <charset val="136"/>
      </rPr>
      <t>戶名</t>
    </r>
  </si>
  <si>
    <t>Customer name</t>
    <phoneticPr fontId="3" type="noConversion"/>
  </si>
  <si>
    <t>8R</t>
    <phoneticPr fontId="3" type="noConversion"/>
  </si>
  <si>
    <r>
      <rPr>
        <sz val="11"/>
        <color theme="1"/>
        <rFont val="微軟正黑體"/>
        <family val="2"/>
        <charset val="136"/>
      </rPr>
      <t>預定繳款日</t>
    </r>
  </si>
  <si>
    <t>Repayment date</t>
    <phoneticPr fontId="3" type="noConversion"/>
  </si>
  <si>
    <t>20R</t>
    <phoneticPr fontId="3" type="noConversion"/>
  </si>
  <si>
    <r>
      <rPr>
        <sz val="11"/>
        <color theme="1"/>
        <rFont val="微軟正黑體"/>
        <family val="2"/>
        <charset val="136"/>
      </rPr>
      <t>放款帳分號</t>
    </r>
    <phoneticPr fontId="3" type="noConversion"/>
  </si>
  <si>
    <t>Loan account sequency number</t>
    <phoneticPr fontId="3" type="noConversion"/>
  </si>
  <si>
    <t>CURRENCY</t>
  </si>
  <si>
    <t>EnqCurrency</t>
  </si>
  <si>
    <t>3L</t>
    <phoneticPr fontId="3" type="noConversion"/>
  </si>
  <si>
    <r>
      <rPr>
        <sz val="11"/>
        <color theme="1"/>
        <rFont val="微軟正黑體"/>
        <family val="2"/>
        <charset val="136"/>
      </rPr>
      <t>幣別</t>
    </r>
  </si>
  <si>
    <t>Currency</t>
    <phoneticPr fontId="3" type="noConversion"/>
  </si>
  <si>
    <t>LD.ID</t>
  </si>
  <si>
    <t>EnqLdId</t>
  </si>
  <si>
    <t>14L</t>
    <phoneticPr fontId="3" type="noConversion"/>
  </si>
  <si>
    <r>
      <t>LD</t>
    </r>
    <r>
      <rPr>
        <sz val="11"/>
        <color theme="1"/>
        <rFont val="微軟正黑體"/>
        <family val="2"/>
        <charset val="136"/>
      </rPr>
      <t>帳號</t>
    </r>
    <phoneticPr fontId="3" type="noConversion"/>
  </si>
  <si>
    <t>LD id</t>
    <phoneticPr fontId="3" type="noConversion"/>
  </si>
  <si>
    <t>T.REPAYMENT.AC</t>
  </si>
  <si>
    <t>EnqTRepaymentAc</t>
  </si>
  <si>
    <t>14R</t>
    <phoneticPr fontId="3" type="noConversion"/>
  </si>
  <si>
    <r>
      <rPr>
        <sz val="11"/>
        <color theme="1"/>
        <rFont val="微軟正黑體"/>
        <family val="2"/>
        <charset val="136"/>
      </rPr>
      <t>繳款帳號</t>
    </r>
  </si>
  <si>
    <t>Repayment account</t>
    <phoneticPr fontId="3" type="noConversion"/>
  </si>
  <si>
    <t>T.CORP.CUST</t>
    <phoneticPr fontId="3" type="noConversion"/>
  </si>
  <si>
    <t>EnqTCorpCust</t>
  </si>
  <si>
    <t>1L</t>
    <phoneticPr fontId="3" type="noConversion"/>
  </si>
  <si>
    <r>
      <rPr>
        <sz val="11"/>
        <color theme="1"/>
        <rFont val="微軟正黑體"/>
        <family val="2"/>
        <charset val="136"/>
      </rPr>
      <t>企金客戶</t>
    </r>
  </si>
  <si>
    <t>Enterprise customer flag</t>
    <phoneticPr fontId="3" type="noConversion"/>
  </si>
  <si>
    <t>SUM.SIMUL.PR.AMT</t>
    <phoneticPr fontId="3" type="noConversion"/>
  </si>
  <si>
    <t>EnqSumSimulPrAmt</t>
  </si>
  <si>
    <t>19R</t>
    <phoneticPr fontId="3" type="noConversion"/>
  </si>
  <si>
    <r>
      <rPr>
        <sz val="11"/>
        <color theme="1"/>
        <rFont val="微軟正黑體"/>
        <family val="2"/>
        <charset val="136"/>
      </rPr>
      <t>應還本金</t>
    </r>
  </si>
  <si>
    <t>Principal Amount</t>
    <phoneticPr fontId="3" type="noConversion"/>
  </si>
  <si>
    <t>SUM.SIMUL.SCHED.LATEPE</t>
  </si>
  <si>
    <t>EnqSumSimulSchedLatepe</t>
  </si>
  <si>
    <t>本期違約金</t>
    <phoneticPr fontId="3" type="noConversion"/>
  </si>
  <si>
    <t>Penalty fee</t>
    <phoneticPr fontId="3" type="noConversion"/>
  </si>
  <si>
    <t>T.LIAB.NEGO</t>
    <phoneticPr fontId="3" type="noConversion"/>
  </si>
  <si>
    <t>EnqTLiabNego</t>
  </si>
  <si>
    <r>
      <rPr>
        <sz val="11"/>
        <color theme="1"/>
        <rFont val="微軟正黑體"/>
        <family val="2"/>
        <charset val="136"/>
      </rPr>
      <t>債務協商註記</t>
    </r>
  </si>
  <si>
    <t>Debt Negotiation flag</t>
    <phoneticPr fontId="3" type="noConversion"/>
  </si>
  <si>
    <t>T.VIRTUAL.PRJNO</t>
    <phoneticPr fontId="3" type="noConversion"/>
  </si>
  <si>
    <t>EnqTVirtualPrjno</t>
  </si>
  <si>
    <r>
      <rPr>
        <sz val="11"/>
        <color theme="1"/>
        <rFont val="微軟正黑體"/>
        <family val="2"/>
        <charset val="136"/>
      </rPr>
      <t>虛擬帳號</t>
    </r>
  </si>
  <si>
    <t>Virtual account project code</t>
    <phoneticPr fontId="3" type="noConversion"/>
  </si>
  <si>
    <t>T.KPI.BR</t>
  </si>
  <si>
    <t>EnqTKpiBr</t>
  </si>
  <si>
    <t>6L</t>
    <phoneticPr fontId="3" type="noConversion"/>
  </si>
  <si>
    <r>
      <rPr>
        <sz val="11"/>
        <color theme="1"/>
        <rFont val="微軟正黑體"/>
        <family val="2"/>
        <charset val="136"/>
      </rPr>
      <t>績效行</t>
    </r>
  </si>
  <si>
    <t>KPI branch for Dr account</t>
  </si>
  <si>
    <t>SUM.SIMUL.IN.AMT</t>
    <phoneticPr fontId="3" type="noConversion"/>
  </si>
  <si>
    <t>EnqSumSimulInAmt</t>
  </si>
  <si>
    <r>
      <rPr>
        <sz val="11"/>
        <color theme="1"/>
        <rFont val="微軟正黑體"/>
        <family val="2"/>
        <charset val="136"/>
      </rPr>
      <t>應還利息</t>
    </r>
  </si>
  <si>
    <t>Interest</t>
    <phoneticPr fontId="3" type="noConversion"/>
  </si>
  <si>
    <t>T.FE.NEGO</t>
    <phoneticPr fontId="3" type="noConversion"/>
  </si>
  <si>
    <t>EnqTFeNego</t>
  </si>
  <si>
    <t>前置協商註記</t>
    <phoneticPr fontId="3" type="noConversion"/>
  </si>
  <si>
    <t>Pre-Negotiation flag</t>
    <phoneticPr fontId="3" type="noConversion"/>
  </si>
  <si>
    <t>T.LN.PENALTY.OS</t>
    <phoneticPr fontId="3" type="noConversion"/>
  </si>
  <si>
    <t>EnqTLnPenaltyOs</t>
  </si>
  <si>
    <r>
      <t>LD</t>
    </r>
    <r>
      <rPr>
        <sz val="11"/>
        <color theme="1"/>
        <rFont val="微軟正黑體"/>
        <family val="2"/>
        <charset val="136"/>
      </rPr>
      <t>違約金餘額</t>
    </r>
  </si>
  <si>
    <t>Total penalty amount</t>
    <phoneticPr fontId="3" type="noConversion"/>
  </si>
  <si>
    <t>PROVISION</t>
    <phoneticPr fontId="3" type="noConversion"/>
  </si>
  <si>
    <t>EnqProvision</t>
  </si>
  <si>
    <t>提存擔保金</t>
    <phoneticPr fontId="3" type="noConversion"/>
  </si>
  <si>
    <t>SUM.SIMUL.SI.AMT</t>
  </si>
  <si>
    <t>EnqSumSimulSiAmt</t>
  </si>
  <si>
    <r>
      <rPr>
        <sz val="11"/>
        <color theme="1"/>
        <rFont val="微軟正黑體"/>
        <family val="2"/>
        <charset val="136"/>
      </rPr>
      <t>應還</t>
    </r>
    <r>
      <rPr>
        <sz val="11"/>
        <color theme="1"/>
        <rFont val="Calibri"/>
        <family val="2"/>
      </rPr>
      <t>SI</t>
    </r>
  </si>
  <si>
    <t>The interest in grace period</t>
    <phoneticPr fontId="3" type="noConversion"/>
  </si>
  <si>
    <t>SUM.SIMUL.PE.AMT</t>
  </si>
  <si>
    <t>EnqSumSimulPeAmt</t>
  </si>
  <si>
    <r>
      <rPr>
        <sz val="11"/>
        <color theme="1"/>
        <rFont val="微軟正黑體"/>
        <family val="2"/>
        <charset val="136"/>
      </rPr>
      <t>提前解約金</t>
    </r>
  </si>
  <si>
    <t>Early Penalty fee</t>
    <phoneticPr fontId="3" type="noConversion"/>
  </si>
  <si>
    <t>T.COLL.ORG</t>
    <phoneticPr fontId="3" type="noConversion"/>
  </si>
  <si>
    <t>EnqTCollOrg</t>
  </si>
  <si>
    <t>3R</t>
    <phoneticPr fontId="3" type="noConversion"/>
  </si>
  <si>
    <r>
      <rPr>
        <sz val="11"/>
        <color theme="1"/>
        <rFont val="微軟正黑體"/>
        <family val="2"/>
        <charset val="136"/>
      </rPr>
      <t>催收單位</t>
    </r>
  </si>
  <si>
    <t>Collection unit</t>
    <phoneticPr fontId="3" type="noConversion"/>
  </si>
  <si>
    <t>SUM.SIMUL.MAX.AMT</t>
  </si>
  <si>
    <t>EnqSumSimulMaxAmt</t>
  </si>
  <si>
    <r>
      <rPr>
        <sz val="11"/>
        <color theme="1"/>
        <rFont val="微軟正黑體"/>
        <family val="2"/>
        <charset val="136"/>
      </rPr>
      <t>應繳本息總額</t>
    </r>
  </si>
  <si>
    <t>Total amount</t>
    <phoneticPr fontId="3" type="noConversion"/>
  </si>
  <si>
    <t>MOVE.OD.TYPE</t>
    <phoneticPr fontId="3" type="noConversion"/>
  </si>
  <si>
    <t>EnqMoveOdType</t>
  </si>
  <si>
    <t>移管逾催科</t>
    <phoneticPr fontId="3" type="noConversion"/>
  </si>
  <si>
    <t>SUM.SIMUL.LAST.INT</t>
  </si>
  <si>
    <t>EnqSumSimulLastInt</t>
  </si>
  <si>
    <r>
      <rPr>
        <sz val="11"/>
        <color theme="1"/>
        <rFont val="微軟正黑體"/>
        <family val="2"/>
        <charset val="136"/>
      </rPr>
      <t>應還前段未收息</t>
    </r>
  </si>
  <si>
    <t xml:space="preserve">Before system conversion Interest </t>
    <phoneticPr fontId="3" type="noConversion"/>
  </si>
  <si>
    <t>TOTAL.AMT</t>
    <phoneticPr fontId="3" type="noConversion"/>
  </si>
  <si>
    <t>EnqTotalAmt</t>
  </si>
  <si>
    <r>
      <rPr>
        <sz val="11"/>
        <color theme="1"/>
        <rFont val="微軟正黑體"/>
        <family val="2"/>
        <charset val="136"/>
      </rPr>
      <t>短墊費用</t>
    </r>
  </si>
  <si>
    <t>Legal charges</t>
    <phoneticPr fontId="3" type="noConversion"/>
  </si>
  <si>
    <t>FWD.PAY.MARKER</t>
    <phoneticPr fontId="3" type="noConversion"/>
  </si>
  <si>
    <t>EnqFwdPayMarker</t>
  </si>
  <si>
    <t>預繳記號</t>
    <phoneticPr fontId="3" type="noConversion"/>
  </si>
  <si>
    <t>Forward payment flag</t>
    <phoneticPr fontId="3" type="noConversion"/>
  </si>
  <si>
    <t>T.LN.PAY.TYPE</t>
    <phoneticPr fontId="3" type="noConversion"/>
  </si>
  <si>
    <t>EnqTLnPayType</t>
  </si>
  <si>
    <t>1R</t>
    <phoneticPr fontId="3" type="noConversion"/>
  </si>
  <si>
    <r>
      <rPr>
        <sz val="11"/>
        <color theme="1"/>
        <rFont val="微軟正黑體"/>
        <family val="2"/>
        <charset val="136"/>
      </rPr>
      <t>還本設定方式</t>
    </r>
  </si>
  <si>
    <t>Principal setting method</t>
    <phoneticPr fontId="3" type="noConversion"/>
  </si>
  <si>
    <t>T.ASSOCIATE.LD</t>
    <phoneticPr fontId="3" type="noConversion"/>
  </si>
  <si>
    <t>EnqTAssociateLd</t>
  </si>
  <si>
    <r>
      <rPr>
        <sz val="11"/>
        <color theme="1"/>
        <rFont val="微軟正黑體"/>
        <family val="2"/>
        <charset val="136"/>
      </rPr>
      <t>關聯分號</t>
    </r>
  </si>
  <si>
    <t>ASSOCIATE LD id</t>
    <phoneticPr fontId="3" type="noConversion"/>
  </si>
  <si>
    <t>T.LN.GL.TERM</t>
    <phoneticPr fontId="3" type="noConversion"/>
  </si>
  <si>
    <t>EnqTLnGlTerm</t>
  </si>
  <si>
    <r>
      <rPr>
        <sz val="11"/>
        <color theme="1"/>
        <rFont val="微軟正黑體"/>
        <family val="2"/>
        <charset val="136"/>
      </rPr>
      <t>科目別</t>
    </r>
  </si>
  <si>
    <t>Specify short/medium/long term loan</t>
    <phoneticPr fontId="3" type="noConversion"/>
  </si>
  <si>
    <t>T.LTV</t>
    <phoneticPr fontId="3" type="noConversion"/>
  </si>
  <si>
    <t>EnqTLtv</t>
  </si>
  <si>
    <t>16R</t>
    <phoneticPr fontId="3" type="noConversion"/>
  </si>
  <si>
    <r>
      <rPr>
        <sz val="11"/>
        <color theme="1"/>
        <rFont val="微軟正黑體"/>
        <family val="2"/>
        <charset val="136"/>
      </rPr>
      <t>保證成數</t>
    </r>
  </si>
  <si>
    <t>Guarantee ratio</t>
    <phoneticPr fontId="3" type="noConversion"/>
  </si>
  <si>
    <t>T.LN.END.DATE</t>
  </si>
  <si>
    <t>EnqTLnEndDate</t>
  </si>
  <si>
    <t>到期日</t>
    <phoneticPr fontId="3" type="noConversion"/>
  </si>
  <si>
    <t>Expiry date</t>
    <phoneticPr fontId="3" type="noConversion"/>
  </si>
  <si>
    <t>T.INT.RECAL.FLG</t>
    <phoneticPr fontId="3" type="noConversion"/>
  </si>
  <si>
    <t>EnqTIntRecalFlg</t>
  </si>
  <si>
    <r>
      <rPr>
        <sz val="11"/>
        <color theme="1"/>
        <rFont val="微軟正黑體"/>
        <family val="2"/>
        <charset val="136"/>
      </rPr>
      <t>月付金重算記號</t>
    </r>
  </si>
  <si>
    <t>The recalculate flag of monthly payment amount</t>
    <phoneticPr fontId="3" type="noConversion"/>
  </si>
  <si>
    <t>T.PRY.TYPE</t>
    <phoneticPr fontId="3" type="noConversion"/>
  </si>
  <si>
    <t>EnqTPryType</t>
  </si>
  <si>
    <t>2R</t>
    <phoneticPr fontId="3" type="noConversion"/>
  </si>
  <si>
    <r>
      <rPr>
        <sz val="11"/>
        <color theme="1"/>
        <rFont val="微軟正黑體"/>
        <family val="2"/>
        <charset val="136"/>
      </rPr>
      <t>繳款方式</t>
    </r>
  </si>
  <si>
    <t>Payment method</t>
    <phoneticPr fontId="3" type="noConversion"/>
  </si>
  <si>
    <t>T.LN.LNK.DEP.AC</t>
    <phoneticPr fontId="3" type="noConversion"/>
  </si>
  <si>
    <t>EnqTLnLnkDepAc</t>
  </si>
  <si>
    <r>
      <rPr>
        <sz val="11"/>
        <color theme="1"/>
        <rFont val="微軟正黑體"/>
        <family val="2"/>
        <charset val="136"/>
      </rPr>
      <t>抵用存款帳號</t>
    </r>
  </si>
  <si>
    <t>Link deposit account</t>
    <phoneticPr fontId="3" type="noConversion"/>
  </si>
  <si>
    <t>T.LN.RATE.TYPE</t>
  </si>
  <si>
    <t>EnqTLnRateType</t>
  </si>
  <si>
    <r>
      <rPr>
        <sz val="11"/>
        <color theme="1"/>
        <rFont val="微軟正黑體"/>
        <family val="2"/>
        <charset val="136"/>
      </rPr>
      <t>利率調整方式</t>
    </r>
  </si>
  <si>
    <t>loan interest type (fixed rate / floating rate ...)</t>
    <phoneticPr fontId="3" type="noConversion"/>
  </si>
  <si>
    <t>T.LN.BASE.KEY</t>
    <phoneticPr fontId="3" type="noConversion"/>
  </si>
  <si>
    <t>EnqTLnBaseKey</t>
  </si>
  <si>
    <t>4L</t>
    <phoneticPr fontId="3" type="noConversion"/>
  </si>
  <si>
    <r>
      <rPr>
        <sz val="11"/>
        <color theme="1"/>
        <rFont val="微軟正黑體"/>
        <family val="2"/>
        <charset val="136"/>
      </rPr>
      <t>利率基礎</t>
    </r>
  </si>
  <si>
    <t>Specify the actual base rate used</t>
    <phoneticPr fontId="3" type="noConversion"/>
  </si>
  <si>
    <t>T.LN.INSTAL.AMT</t>
    <phoneticPr fontId="3" type="noConversion"/>
  </si>
  <si>
    <t>EnqTLnInstalAmt</t>
  </si>
  <si>
    <r>
      <rPr>
        <sz val="11"/>
        <color theme="1"/>
        <rFont val="微軟正黑體"/>
        <family val="2"/>
        <charset val="136"/>
      </rPr>
      <t>月付金金額</t>
    </r>
  </si>
  <si>
    <t>Monthly payment amount</t>
    <phoneticPr fontId="3" type="noConversion"/>
  </si>
  <si>
    <t>T.NEXT.RPY.DT</t>
    <phoneticPr fontId="3" type="noConversion"/>
  </si>
  <si>
    <t>EnqTNextRpyDt</t>
  </si>
  <si>
    <r>
      <rPr>
        <sz val="11"/>
        <color theme="1"/>
        <rFont val="微軟正黑體"/>
        <family val="2"/>
        <charset val="136"/>
      </rPr>
      <t>指定繳息日</t>
    </r>
  </si>
  <si>
    <t>Next repayment schedule date</t>
    <phoneticPr fontId="3" type="noConversion"/>
  </si>
  <si>
    <t>T.TOTAL.LD.OUTS</t>
    <phoneticPr fontId="3" type="noConversion"/>
  </si>
  <si>
    <t>EnqTTotalLdOuts</t>
  </si>
  <si>
    <t>貸款餘額</t>
    <phoneticPr fontId="3" type="noConversion"/>
  </si>
  <si>
    <t>Loan outstansing</t>
    <phoneticPr fontId="3" type="noConversion"/>
  </si>
  <si>
    <t>SCHED.DATE</t>
  </si>
  <si>
    <t>EnqSchedDate</t>
  </si>
  <si>
    <t>應繳日</t>
    <phoneticPr fontId="3" type="noConversion"/>
  </si>
  <si>
    <t>Due date</t>
    <phoneticPr fontId="3" type="noConversion"/>
  </si>
  <si>
    <t>SIMUL.MAX.AMT</t>
  </si>
  <si>
    <t>EnqSimulMaxAmt</t>
  </si>
  <si>
    <t>應繳金額</t>
    <phoneticPr fontId="3" type="noConversion"/>
  </si>
  <si>
    <t>Due Amount</t>
    <phoneticPr fontId="3" type="noConversion"/>
  </si>
  <si>
    <t>CALCU.OUTS</t>
  </si>
  <si>
    <t>EnqCalcuOuts</t>
  </si>
  <si>
    <t>計息本金</t>
    <phoneticPr fontId="3" type="noConversion"/>
  </si>
  <si>
    <t>CALCU.RATE</t>
    <phoneticPr fontId="3" type="noConversion"/>
  </si>
  <si>
    <t>EnqCalcuRate</t>
  </si>
  <si>
    <r>
      <rPr>
        <sz val="11"/>
        <color theme="1"/>
        <rFont val="微軟正黑體"/>
        <family val="2"/>
        <charset val="136"/>
      </rPr>
      <t>利率</t>
    </r>
  </si>
  <si>
    <t>Interest rate</t>
    <phoneticPr fontId="3" type="noConversion"/>
  </si>
  <si>
    <t>CALCU.START.DT</t>
  </si>
  <si>
    <t>EnqCalcuStartDt</t>
  </si>
  <si>
    <t>計息起日</t>
    <phoneticPr fontId="3" type="noConversion"/>
  </si>
  <si>
    <t>Interest calculation start date</t>
    <phoneticPr fontId="3" type="noConversion"/>
  </si>
  <si>
    <t>CALCU.END.DT</t>
  </si>
  <si>
    <t>EnqCalcuEndDt</t>
  </si>
  <si>
    <r>
      <rPr>
        <sz val="11"/>
        <color theme="1"/>
        <rFont val="微軟正黑體"/>
        <family val="2"/>
        <charset val="136"/>
      </rPr>
      <t>計息止日</t>
    </r>
  </si>
  <si>
    <t>Interest calculation end date</t>
    <phoneticPr fontId="3" type="noConversion"/>
  </si>
  <si>
    <t>CALC.NO.OF.DAYS</t>
    <phoneticPr fontId="3" type="noConversion"/>
  </si>
  <si>
    <t>EnqCalcNoOfDays</t>
  </si>
  <si>
    <t>計息天數</t>
    <phoneticPr fontId="3" type="noConversion"/>
  </si>
  <si>
    <t>Interest accrual days</t>
    <phoneticPr fontId="3" type="noConversion"/>
  </si>
  <si>
    <t>CALC.INTEREST</t>
    <phoneticPr fontId="3" type="noConversion"/>
  </si>
  <si>
    <t>EnqCalcInterest</t>
  </si>
  <si>
    <t>利息明細</t>
    <phoneticPr fontId="3" type="noConversion"/>
  </si>
  <si>
    <t>Interest Details</t>
    <phoneticPr fontId="3" type="noConversion"/>
  </si>
  <si>
    <t>SIMUL.PR.AMT</t>
  </si>
  <si>
    <t>EnqSimulPrAmt</t>
  </si>
  <si>
    <t>SIMUL.IN.AMT</t>
  </si>
  <si>
    <t>EnqSimulInAmt</t>
  </si>
  <si>
    <t>SIMUL.SI.AMT</t>
  </si>
  <si>
    <t>EnqSimulSiAmt</t>
  </si>
  <si>
    <t>SIMUL.LAST.INT</t>
  </si>
  <si>
    <t>EnqSimulLastInt</t>
  </si>
  <si>
    <t>SIMUL.SCHED.LATEPE</t>
  </si>
  <si>
    <t>EnqSimulSchedLatepe</t>
  </si>
  <si>
    <r>
      <rPr>
        <sz val="11"/>
        <color theme="1"/>
        <rFont val="微軟正黑體"/>
        <family val="2"/>
        <charset val="136"/>
      </rPr>
      <t>本期違約金</t>
    </r>
  </si>
  <si>
    <t>SIMUL.PE.AMT</t>
  </si>
  <si>
    <t>EnqSimulPeAmt</t>
  </si>
  <si>
    <t>提前解約金</t>
    <phoneticPr fontId="3" type="noConversion"/>
  </si>
  <si>
    <t>SIMUL.BF.UNP.LTP</t>
  </si>
  <si>
    <t>EnqSimulBfUnpLtp</t>
  </si>
  <si>
    <t>前期違約金</t>
    <phoneticPr fontId="3" type="noConversion"/>
  </si>
  <si>
    <t>SPCPAY.AMT</t>
  </si>
  <si>
    <t>EnqSpcpayAmt</t>
  </si>
  <si>
    <t>預定還本之應繳本金</t>
    <phoneticPr fontId="3" type="noConversion"/>
  </si>
  <si>
    <t>T.EXTEN.MDT</t>
    <phoneticPr fontId="3" type="noConversion"/>
  </si>
  <si>
    <t>EnqTExtenMdt</t>
  </si>
  <si>
    <r>
      <rPr>
        <sz val="11"/>
        <color theme="1"/>
        <rFont val="微軟正黑體"/>
        <family val="2"/>
        <charset val="136"/>
      </rPr>
      <t>展期最終到期日</t>
    </r>
    <phoneticPr fontId="3" type="noConversion"/>
  </si>
  <si>
    <t>Extension expiry date</t>
    <phoneticPr fontId="3" type="noConversion"/>
  </si>
  <si>
    <t>NEW.INSTALL.AMT</t>
    <phoneticPr fontId="3" type="noConversion"/>
  </si>
  <si>
    <t>EnqNewInstallAmt</t>
  </si>
  <si>
    <t>FWD.RATE.FG</t>
    <phoneticPr fontId="3" type="noConversion"/>
  </si>
  <si>
    <t>EnqFwdRateFg</t>
  </si>
  <si>
    <r>
      <rPr>
        <sz val="11"/>
        <color theme="1"/>
        <rFont val="微軟正黑體"/>
        <family val="2"/>
        <charset val="136"/>
      </rPr>
      <t>優利型預約利率註記</t>
    </r>
  </si>
  <si>
    <t>T.PAY.CHECK.FG</t>
    <phoneticPr fontId="3" type="noConversion"/>
  </si>
  <si>
    <t>EnqTPayCheckFg</t>
  </si>
  <si>
    <r>
      <rPr>
        <sz val="11"/>
        <color theme="1"/>
        <rFont val="微軟正黑體"/>
        <family val="2"/>
        <charset val="136"/>
      </rPr>
      <t>票據繳款</t>
    </r>
  </si>
  <si>
    <t>Use check to repayment</t>
    <phoneticPr fontId="3" type="noConversion"/>
  </si>
  <si>
    <t>T.SMEG.ADV.REF</t>
    <phoneticPr fontId="3" type="noConversion"/>
  </si>
  <si>
    <t>EnqTSmegAdvRef</t>
  </si>
  <si>
    <t>10L</t>
    <phoneticPr fontId="3" type="noConversion"/>
  </si>
  <si>
    <t>通知單編號</t>
    <phoneticPr fontId="3" type="noConversion"/>
  </si>
  <si>
    <t>SMEG (Small&amp;medium enterprise credit guarantee) Advising Reference</t>
    <phoneticPr fontId="3" type="noConversion"/>
  </si>
  <si>
    <t>T.SMEG.EXCH</t>
    <phoneticPr fontId="3" type="noConversion"/>
  </si>
  <si>
    <t>EnqTSmegExch</t>
  </si>
  <si>
    <r>
      <rPr>
        <sz val="11"/>
        <color theme="1"/>
        <rFont val="微軟正黑體"/>
        <family val="2"/>
        <charset val="136"/>
      </rPr>
      <t>送保匯率</t>
    </r>
    <phoneticPr fontId="3" type="noConversion"/>
  </si>
  <si>
    <t>SMEG Applied Ex Rate</t>
    <phoneticPr fontId="3" type="noConversion"/>
  </si>
  <si>
    <t>T.FE.MEDIA</t>
    <phoneticPr fontId="3" type="noConversion"/>
  </si>
  <si>
    <t>EnqTFeMedia</t>
  </si>
  <si>
    <t>前置調解註記</t>
    <phoneticPr fontId="3" type="noConversion"/>
  </si>
  <si>
    <t>pre-mediation flag</t>
    <phoneticPr fontId="3" type="noConversion"/>
  </si>
  <si>
    <t>T.DEBIT2.AC</t>
    <phoneticPr fontId="3" type="noConversion"/>
  </si>
  <si>
    <t>EnqTDebit2Ac</t>
  </si>
  <si>
    <t>第二扣款帳號</t>
    <phoneticPr fontId="3" type="noConversion"/>
  </si>
  <si>
    <t>THE SECOND DEBIT ACCOUNT</t>
    <phoneticPr fontId="3" type="noConversion"/>
  </si>
  <si>
    <t>LIMIT.REFERENCE</t>
  </si>
  <si>
    <t>EnqLimitReference</t>
  </si>
  <si>
    <t>32L</t>
    <phoneticPr fontId="3" type="noConversion"/>
  </si>
  <si>
    <r>
      <rPr>
        <sz val="11"/>
        <color theme="1"/>
        <rFont val="微軟正黑體"/>
        <family val="2"/>
        <charset val="136"/>
      </rPr>
      <t>額度號碼</t>
    </r>
  </si>
  <si>
    <t>LIMIT ID</t>
    <phoneticPr fontId="3" type="noConversion"/>
  </si>
  <si>
    <t>T.12OF1.DOCDATA</t>
    <phoneticPr fontId="3" type="noConversion"/>
  </si>
  <si>
    <t>EnqT12of1Docdata</t>
  </si>
  <si>
    <t>65L</t>
    <phoneticPr fontId="3" type="noConversion"/>
  </si>
  <si>
    <r>
      <rPr>
        <sz val="11"/>
        <color theme="1"/>
        <rFont val="微軟正黑體"/>
        <family val="2"/>
        <charset val="136"/>
      </rPr>
      <t>貨運單據相關註記</t>
    </r>
    <phoneticPr fontId="3" type="noConversion"/>
  </si>
  <si>
    <t>Shipping documents Notes</t>
    <phoneticPr fontId="3" type="noConversion"/>
  </si>
  <si>
    <t>FLEX.SDT</t>
  </si>
  <si>
    <t>EnqFlexSdt</t>
    <phoneticPr fontId="3" type="noConversion"/>
  </si>
  <si>
    <t>彈性繳款生效日</t>
    <phoneticPr fontId="3" type="noConversion"/>
  </si>
  <si>
    <t>Flexibly payment start date</t>
    <phoneticPr fontId="3" type="noConversion"/>
  </si>
  <si>
    <t>FLEX.TERM</t>
    <phoneticPr fontId="3" type="noConversion"/>
  </si>
  <si>
    <t>4R</t>
    <phoneticPr fontId="3" type="noConversion"/>
  </si>
  <si>
    <r>
      <rPr>
        <sz val="11"/>
        <color theme="1"/>
        <rFont val="微軟正黑體"/>
        <family val="2"/>
        <charset val="136"/>
      </rPr>
      <t>彈性繳款期間</t>
    </r>
    <phoneticPr fontId="3" type="noConversion"/>
  </si>
  <si>
    <t>Flexibly payment TERM</t>
    <phoneticPr fontId="3" type="noConversion"/>
  </si>
  <si>
    <t>FLEX.EDT</t>
    <phoneticPr fontId="3" type="noConversion"/>
  </si>
  <si>
    <t>EnqFlexEdt</t>
  </si>
  <si>
    <r>
      <rPr>
        <sz val="11"/>
        <color theme="1"/>
        <rFont val="微軟正黑體"/>
        <family val="2"/>
        <charset val="136"/>
      </rPr>
      <t>彈性繳款止日</t>
    </r>
  </si>
  <si>
    <t>Flexibly payment end date</t>
    <phoneticPr fontId="3" type="noConversion"/>
  </si>
  <si>
    <t>10R</t>
    <phoneticPr fontId="3" type="noConversion"/>
  </si>
  <si>
    <r>
      <rPr>
        <sz val="11"/>
        <color theme="1"/>
        <rFont val="微軟正黑體"/>
        <family val="2"/>
        <charset val="136"/>
      </rPr>
      <t>彈性繳款月付金</t>
    </r>
  </si>
  <si>
    <t>Flexibly payment amount</t>
    <phoneticPr fontId="3" type="noConversion"/>
  </si>
  <si>
    <t>T.SMEG.TYPE</t>
    <phoneticPr fontId="3" type="noConversion"/>
  </si>
  <si>
    <t>EnqTSmegType</t>
  </si>
  <si>
    <r>
      <rPr>
        <sz val="11"/>
        <color theme="1"/>
        <rFont val="微軟正黑體"/>
        <family val="2"/>
        <charset val="136"/>
      </rPr>
      <t>基金項目</t>
    </r>
    <phoneticPr fontId="3" type="noConversion"/>
  </si>
  <si>
    <t>Credit Enhancement Type</t>
    <phoneticPr fontId="3" type="noConversion"/>
  </si>
  <si>
    <t>T.LN.START.DATE</t>
    <phoneticPr fontId="3" type="noConversion"/>
  </si>
  <si>
    <t>EnqTLnStartDate</t>
  </si>
  <si>
    <t>放款起日</t>
    <phoneticPr fontId="3" type="noConversion"/>
  </si>
  <si>
    <t>Loan start date</t>
    <phoneticPr fontId="3" type="noConversion"/>
  </si>
  <si>
    <t>T.DISCRATE.SDT</t>
    <phoneticPr fontId="3" type="noConversion"/>
  </si>
  <si>
    <t>EnqTDiscrateSdt</t>
    <phoneticPr fontId="3" type="noConversion"/>
  </si>
  <si>
    <t>優惠利率初貸日</t>
    <phoneticPr fontId="3" type="noConversion"/>
  </si>
  <si>
    <t>Discount rate start date</t>
    <phoneticPr fontId="3" type="noConversion"/>
  </si>
  <si>
    <t>DISC.RATE.DAYS</t>
    <phoneticPr fontId="3" type="noConversion"/>
  </si>
  <si>
    <t>EnqDiscRateDays</t>
  </si>
  <si>
    <t>優惠利率總天數</t>
    <phoneticPr fontId="3" type="noConversion"/>
  </si>
  <si>
    <t>Discount Rate Total Days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</si>
  <si>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</si>
  <si>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</si>
  <si>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</si>
  <si>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</si>
  <si>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</si>
  <si>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</si>
  <si>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</si>
  <si>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EnqTLnAltNo: 00105500001433470005
EnqRepayDate: 20190827</t>
    <phoneticPr fontId="3" type="noConversion"/>
  </si>
  <si>
    <r>
      <t>{
  "header": {
    "audit": {
      "T24_time": 1283,
      "parse_time": 2
    },
    "page_start": 1,
    "page_token": "3852170025.01,5",
    "total_size": 14,
    "page_size": 5,
    "status": "success"
  },
  "body": [
    {
      "EnqTPayCheckFg": "N",
      "EnqLdId": "LD1000100106",
      "EnqSchedDate": "20190727",
      "EnqSimulBfUnpLtp": "0",
      "EnqProvision": "N",
      "EnqTTotalLdOuts": "1210417",
      "EnqSumSimulMaxAmt": "174030",
      "EnqTLnRateType": "99",
      "EnqSimulSiAmt": "0",
      "EnqSimulMaxAmt": "12559",
      "EnqTIntRecalFlg": "1",
      "EnqTCorpCust": "0",
      "EnqLimitReference": "3000.01",
      "EnqTMnemonic": "S2324902690",
      "EnqSumSimulSiAmt": "0",
      "EnqCalcNoOfDays": "30",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"1880",
      "EnqCalcuRate": "1.89",
      "EnqSumSimulPeAmt": "0",
      "EnqCalcuOuts": "1210417",
      "EnqTLnGlTerm": "076",
      "EnqTLnEndDate": "20280527",
      "EnqTPryType": "1",
      "EnqSimulLastInt": "0",
      "EnqSimulSchedLatepe": "257",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"20190627",
      "EnqCurrency": "TWD",
      "EnqSumSimulPrAmt": "146968",
      "EnqSumSimulLastInt": "0",
      "EnqTLnPayType": "2",
      "EnqTLnInstalAmt": "12302",
      "EnqSimulPrAmt": "10422",
      "EnqMoveOdType": "N",
      "EnqSumSimulSchedLatepe": "1802",
      "EnqCalcuEndDt": "20190727",
      "EnqCalcInterest": "1880.2916136986301"
    },
    {
      "EnqTPayCheckFg": "N",
      "EnqLdId": "LD1000100106",
      "EnqSchedDate": "20190827",
      "EnqSimulBfUnpLtp": "0",
      "EnqProvision": "N",
      "EnqTTotalLdOuts": "1210417",
      "EnqSumSimulMaxAmt": "174030",
      "EnqTLnRateType": "99",
      "EnqSimulSiAmt": "0",
      "EnqSimulMaxAmt": "12538",
      "EnqTIntRecalFlg": "1",
      "EnqTCorpCust": "0",
      "EnqLimitReference": "3000.01",
      "EnqTMnemonic": "S2324902690",
      "EnqSumSimulSiAmt": "0",
      "EnqCalcNoOfDays": "31",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"1926",
      "EnqCalcuRate": "1.89",
      "EnqSumSimulPeAmt": "0",
      "EnqCalcuOuts": "1199995",
      "EnqTLnGlTerm": "076",
      "EnqTLnEndDate": "20280527",
      "EnqTPryType": "1",
      "EnqSimulLastInt": "0",
      "EnqSimulSchedLatepe": "236",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"20190727",
      "EnqCurrency": "TWD",
      "EnqSumSimulPrAmt": "146968",
      "EnqSumSimulLastInt": "0",
      "EnqTLnPayType": "2",
      "EnqTLnInstalAmt": "12302",
      "EnqSimulPrAmt": "10376",
      "EnqMoveOdType": "N",
      "EnqSumSimulSchedLatepe": "1802",
      "EnqCalcuEndDt": "20190827",
      "EnqCalcInterest": "1926.2385493150684"
    },
    {
      "EnqTPayCheckFg": "N",
      "EnqLdId": "LD1000100106",
      "EnqSchedDate": "20190927",
      "EnqSimulBfUnpLtp": "0",
      "EnqProvision": "N",
      "EnqTTotalLdOuts": "1210417",
      "EnqSumSimulMaxAmt": "174030",
      "EnqTLnRateType": "99",
      "EnqSimulSiAmt": "0",
      "EnqSimulMaxAmt": "12518",
      "EnqTIntRecalFlg": "1",
      "EnqTCorpCust": "0",
      "EnqLimitReference": "3000.01",
      "EnqTMnemonic": "S2324902690",
      "EnqSumSimulSiAmt": "0",
      "EnqCalcNoOfDays": "31",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"1910",
      "EnqCalcuRate": "1.89",
      "EnqSumSimulPeAmt": "0",
      "EnqCalcuOuts": "1189619",
      "EnqTLnGlTerm": "076",
      "EnqTLnEndDate": "20280527",
      "EnqTPryType": "1",
      "EnqSimulLastInt": "0",
      "EnqSimulSchedLatepe": "216",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"20190827",
      "EnqCurrency": "TWD",
      "EnqSumSimulPrAmt": "146968",
      "EnqSumSimulLastInt": "0",
      "EnqTLnPayType": "2",
      "EnqTLnInstalAmt": "12302",
      "EnqSimulPrAmt": "10392",
      "EnqMoveOdType": "N",
      "EnqSumSimulSchedLatepe": "1802",
      "EnqCalcuEndDt": "20190927",
      "EnqCalcInterest": "1909.5829372602739"
    },
    {
      "EnqTPayCheckFg": "N",
      "EnqLdId": "LD1000100106",
      "EnqSchedDate": "20191027",
      "EnqSimulBfUnpLtp": "0",
      "EnqProvision": "N",
      "EnqTTotalLdOuts": "1210417",
      "EnqSumSimulMaxAmt": "174030",
      "EnqTLnRateType": "99",
      "EnqSimulSiAmt": "0",
      "EnqSimulMaxAmt": "12500",
      "EnqTIntRecalFlg": "1",
      "EnqTCorpCust": "0",
      "EnqLimitReference": "3000.01",
      "EnqTMnemonic": "S2324902690",
      "EnqSumSimulSiAmt": "0",
      "EnqCalcNoOfDays": "30",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"1832",
      "EnqCalcuRate": "1.89",
      "EnqSumSimulPeAmt": "0",
      "EnqCalcuOuts": "1179227",
      "EnqTLnGlTerm": "076",
      "EnqTLnEndDate": "20280527",
      "EnqTPryType": "1",
      "EnqSimulLastInt": "0",
      "EnqSimulSchedLatepe": "198",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"20190927",
      "EnqCurrency": "TWD",
      "EnqSumSimulPrAmt": "146968",
      "EnqSumSimulLastInt": "0",
      "EnqTLnPayType": "2",
      "EnqTLnInstalAmt": "12302",
      "EnqSimulPrAmt": "10470",
      "EnqMoveOdType": "N",
      "EnqSumSimulSchedLatepe": "1802",
      "EnqCalcuEndDt": "20191027",
      "EnqCalcInterest": "1831.8402986301369"
    },
    {
      "EnqTPayCheckFg": "N",
      "EnqLdId": "LD1000100106",
      "EnqSchedDate": "20191127",
      "EnqSimulBfUnpLtp": "0",
      "EnqProvision": "N",
      "EnqTTotalLdOuts": "1210417",
      "EnqSumSimulMaxAmt": "174030",
      "EnqTLnRateType": "99",
      "EnqSimulSiAmt": "0",
      "EnqSimulMaxAmt": "12480",
      "EnqTIntRecalFlg": "1",
      "EnqTCorpCust": "0",
      "EnqLimitReference": "3000.01",
      "EnqTMnemonic": "S2324902690",
      "EnqSumSimulSiAmt": "0",
      "EnqCalcNoOfDays": "31",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"1876",
      "EnqCalcuRate": "1.89",
      "EnqSumSimulPeAmt": "0",
      "EnqCalcuOuts": "1168757",
      "EnqTLnGlTerm": "076",
      "EnqTLnEndDate": "20280527",
      "EnqTPryType": "1",
      "EnqSimulLastInt": "0",
      "EnqSimulSchedLatepe": "178",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"20191027",
      "EnqCurrency": "TWD",
      "EnqSumSimulPrAmt": "146968",
      "EnqSumSimulLastInt": "0",
      "EnqTLnPayType": "2",
      "EnqTLnInstalAmt": "12302",
      "EnqSimulPrAmt": "10426",
      "EnqMoveOdType": "N",
      "EnqSumSimulSchedLatepe": "1802",
      "EnqCalcuEndDt": "20191127",
      "EnqCalcInterest": "1876.0951405479452"
    }
  ]
}</t>
    </r>
    <phoneticPr fontId="3" type="noConversion"/>
  </si>
  <si>
    <r>
      <t xml:space="preserve">EnqTLnAltNo: 00105500001433470005
EnqRepayDate: 20200827
</t>
    </r>
    <r>
      <rPr>
        <sz val="11"/>
        <color rgb="FFFF0000"/>
        <rFont val="Calibri"/>
        <family val="2"/>
      </rPr>
      <t>page_token: 3852170025.01,5
page_start: 2</t>
    </r>
    <phoneticPr fontId="3" type="noConversion"/>
  </si>
  <si>
    <r>
      <t>{
  "header": {
    "audit": {
      "T24_time": 83,
      "parse_time": 1
    },
    "page_start": 2,
    "page_token": "3852170025.01,5",
    "total_size": 14,
    "page_size": 5,
    "status": "success"
  },
  "body": [
    {
      "EnqTPayCheckFg": "N",
      "EnqLdId": "LD1000100106",
      "EnqSchedDate": "20191227",
      "EnqSimulBfUnpLtp": "0",
      "EnqProvision": "N",
      "EnqTTotalLdOuts": "1210417",
      "EnqSumSimulMaxAmt": "174030",
      "EnqTLnRateType": "99",
      "EnqSimulSiAmt": "0",
      "EnqSimulMaxAmt": "12461",
      "EnqTIntRecalFlg": "1",
      "EnqTCorpCust": "0",
      "EnqLimitReference": "3000.01",
      "EnqTMnemonic": "S2324902690",
      "EnqSumSimulSiAmt": "0",
      "EnqCalcNoOfDays": "30",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"1799",
      "EnqCalcuRate": "1.89",
      "EnqSumSimulPeAmt": "0",
      "EnqCalcuOuts": "1158331",
      "EnqTLnGlTerm": "076",
      "EnqTLnEndDate": "20280527",
      "EnqTPryType": "1",
      "EnqSimulLastInt": "0",
      "EnqSimulSchedLatepe": "159",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"20191127",
      "EnqCurrency": "TWD",
      "EnqSumSimulPrAmt": "146968",
      "EnqSumSimulLastInt": "0",
      "EnqTLnPayType": "2",
      "EnqTLnInstalAmt": "12302",
      "EnqSimulPrAmt": "10503",
      "EnqMoveOdType": "N",
      "EnqSumSimulSchedLatepe": "1802",
      "EnqCalcuEndDt": "20191227",
      "EnqCalcInterest": "1799.3799369863013"
    },
    {
      "EnqTPayCheckFg": "N",
      "EnqLdId": "LD1000100106",
      "EnqSchedDate": "20200127",
      "EnqSimulBfUnpLtp": "0",
      "EnqProvision": "N",
      "EnqTTotalLdOuts": "1210417",
      "EnqSumSimulMaxAmt": "174030",
      "EnqTLnRateType": "99",
      "EnqSimulSiAmt": "0",
      "EnqSimulMaxAmt": "12440",
      "EnqTIntRecalFlg": "1",
      "EnqTCorpCust": "0",
      "EnqLimitReference": "3000.01",
      "EnqTMnemonic": "S2324902690",
      "EnqSumSimulSiAmt": "0",
      "EnqCalcNoOfDays": "31",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"1842",
      "EnqCalcuRate": "1.89",
      "EnqSumSimulPeAmt": "0",
      "EnqCalcuOuts": "1147828",
      "EnqTLnGlTerm": "076",
      "EnqTLnEndDate": "20280527",
      "EnqTPryType": "1",
      "EnqSimulLastInt": "0",
      "EnqSimulSchedLatepe": "138",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"20191227",
      "EnqCurrency": "TWD",
      "EnqSumSimulPrAmt": "146968",
      "EnqSumSimulLastInt": "0",
      "EnqTLnPayType": "2",
      "EnqTLnInstalAmt": "12302",
      "EnqSimulPrAmt": "10460",
      "EnqMoveOdType": "N",
      "EnqSumSimulSchedLatepe": "1802",
      "EnqCalcuEndDt": "20200127",
      "EnqCalcInterest": "1842.4997950684931"
    },
    {
      "EnqTPayCheckFg": "N",
      "EnqLdId": "LD1000100106",
      "EnqSchedDate": "20200227",
      "EnqSimulBfUnpLtp": "0",
      "EnqProvision": "N",
      "EnqTTotalLdOuts": "1210417",
      "EnqSumSimulMaxAmt": "174030",
      "EnqTLnRateType": "99",
      "EnqSimulSiAmt": "0",
      "EnqSimulMaxAmt": "12420",
      "EnqTIntRecalFlg": "1",
      "EnqTCorpCust": "0",
      "EnqLimitReference": "3000.01",
      "EnqTMnemonic": "S2324902690",
      "EnqSumSimulSiAmt": "0",
      "EnqCalcNoOfDays": "31",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"1826",
      "EnqCalcuRate": "1.89",
      "EnqSumSimulPeAmt": "0",
      "EnqCalcuOuts": "1137368",
      "EnqTLnGlTerm": "076",
      "EnqTLnEndDate": "20280527",
      "EnqTPryType": "1",
      "EnqSimulLastInt": "0",
      "EnqSimulSchedLatepe": "118",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"20200127",
      "EnqCurrency": "TWD",
      "EnqSumSimulPrAmt": "146968",
      "EnqSumSimulLastInt": "0",
      "EnqTLnPayType": "2",
      "EnqTLnInstalAmt": "12302",
      "EnqSimulPrAmt": "10476",
      "EnqMoveOdType": "N",
      "EnqSumSimulSchedLatepe": "1802",
      "EnqCalcuEndDt": "20200227",
      "EnqCalcInterest": "1825.7093457534246"
    },
    {
      "EnqTPayCheckFg": "N",
      "EnqLdId": "LD1000100106",
      "EnqSchedDate": "20200327",
      "EnqSimulBfUnpLtp": "0",
      "EnqProvision": "N",
      "EnqTTotalLdOuts": "1210417",
      "EnqSumSimulMaxAmt": "174030",
      "EnqTLnRateType": "99",
      "EnqSimulSiAmt": "0",
      "EnqSimulMaxAmt": "12403",
      "EnqTIntRecalFlg": "1",
      "EnqTCorpCust": "0",
      "EnqLimitReference": "3000.01",
      "EnqTMnemonic": "S2324902690",
      "EnqSumSimulSiAmt": "0",
      "EnqCalcNoOfDays": "29",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"1692",
      "EnqCalcuRate": "1.89",
      "EnqSumSimulPeAmt": "0",
      "EnqCalcuOuts": "1126892",
      "EnqTLnGlTerm": "076",
      "EnqTLnEndDate": "20280527",
      "EnqTPryType": "1",
      "EnqSimulLastInt": "0",
      "EnqSimulSchedLatepe": "101",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"20200227",
      "EnqCurrency": "TWD",
      "EnqSumSimulPrAmt": "146968",
      "EnqSumSimulLastInt": "0",
      "EnqTLnPayType": "2",
      "EnqTLnInstalAmt": "12302",
      "EnqSimulPrAmt": "10610",
      "EnqMoveOdType": "N",
      "EnqSumSimulSchedLatepe": "1802",
      "EnqCalcuEndDt": "20200327",
      "EnqCalcInterest": "1692.1904252054794"
    },
    {
      "EnqTPayCheckFg": "N",
      "EnqLdId": "LD1000100106",
      "EnqSchedDate": "20200427",
      "EnqSimulBfUnpLtp": "0",
      "EnqProvision": "N",
      "EnqTTotalLdOuts": "1210417",
      "EnqSumSimulMaxAmt": "174030",
      "EnqTLnRateType": "99",
      "EnqSimulSiAmt": "0",
      "EnqSimulMaxAmt": "12382",
      "EnqTIntRecalFlg": "1",
      "EnqTCorpCust": "0",
      "EnqLimitReference": "3000.01",
      "EnqTMnemonic": "S2324902690",
      "EnqSumSimulSiAmt": "0",
      "EnqCalcNoOfDays": "31",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"1792",
      "EnqCalcuRate": "1.89",
      "EnqSumSimulPeAmt": "0",
      "EnqCalcuOuts": "1116282",
      "EnqTLnGlTerm": "076",
      "EnqTLnEndDate": "20280527",
      "EnqTPryType": "1",
      "EnqSimulLastInt": "0",
      "EnqSimulSchedLatepe": "80",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"20200327",
      "EnqCurrency": "TWD",
      "EnqSumSimulPrAmt": "146968",
      "EnqSumSimulLastInt": "0",
      "EnqTLnPayType": "2",
      "EnqTLnInstalAmt": "12302",
      "EnqSimulPrAmt": "10510",
      "EnqMoveOdType": "N",
      "EnqSumSimulSchedLatepe": "1802",
      "EnqCalcuEndDt": "20200427",
      "EnqCalcInterest": "1791.8619830136986"
    }
  ]
}</t>
    </r>
    <phoneticPr fontId="3" type="noConversion"/>
  </si>
  <si>
    <t>第2次查詢使用page_token + page_start 切換頁面顯示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</si>
</sst>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1"/>
      <color rgb="FFFF0000"/>
      <name val="Calibri"/>
      <family val="2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0" fillId="0" borderId="6" xfId="0" quotePrefix="1" applyFont="1" applyBorder="1"/>
    <xf numFmtId="0" fontId="13" fillId="0" borderId="6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8" fillId="0" borderId="5" xfId="0" applyFont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B5" sqref="B5"/>
    </sheetView>
  </sheetViews>
  <sheetFormatPr defaultColWidth="9.140625" defaultRowHeight="1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38" t="s">
        <v>0</v>
      </c>
      <c r="B1" s="39"/>
      <c r="C1" s="39"/>
      <c r="D1" s="39"/>
      <c r="E1" s="39"/>
    </row>
    <row r="2" spans="1:5" ht="20.100000000000001" customHeight="1" thickBot="1">
      <c r="A2" s="37" t="s">
        <v>1</v>
      </c>
      <c r="B2" s="40"/>
      <c r="C2" s="40"/>
      <c r="D2" s="40"/>
      <c r="E2" s="41"/>
    </row>
    <row r="3" spans="1:5" ht="15.7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5.75" thickBot="1">
      <c r="A4" s="3" t="s">
        <v>7</v>
      </c>
      <c r="B4" s="6">
        <v>44812</v>
      </c>
      <c r="C4" s="5" t="s">
        <v>8</v>
      </c>
      <c r="D4" s="33" t="s">
        <v>9</v>
      </c>
      <c r="E4" s="4" t="s">
        <v>10</v>
      </c>
    </row>
    <row r="5" spans="1:5" ht="15.75" thickBot="1">
      <c r="A5" s="3"/>
      <c r="B5" s="6"/>
      <c r="C5" s="5"/>
      <c r="D5" s="3"/>
      <c r="E5" s="4"/>
    </row>
    <row r="6" spans="1:5" ht="15.75" thickBot="1">
      <c r="A6" s="3"/>
      <c r="B6" s="6"/>
      <c r="C6" s="5"/>
      <c r="D6" s="3"/>
      <c r="E6" s="4"/>
    </row>
    <row r="7" spans="1:5" ht="15.75" thickBot="1">
      <c r="A7" s="3"/>
      <c r="B7" s="6"/>
      <c r="C7" s="5"/>
      <c r="D7" s="3"/>
      <c r="E7" s="4"/>
    </row>
    <row r="8" spans="1:5" ht="15.75" thickBot="1">
      <c r="A8" s="4"/>
      <c r="B8" s="7"/>
      <c r="C8" s="8"/>
      <c r="D8" s="4"/>
      <c r="E8" s="4"/>
    </row>
    <row r="9" spans="1:5" ht="15.75" thickBot="1">
      <c r="A9" s="4"/>
      <c r="B9" s="7"/>
      <c r="C9" s="8"/>
      <c r="D9" s="4"/>
      <c r="E9" s="4"/>
    </row>
    <row r="10" spans="1:5" ht="15.75" thickBot="1">
      <c r="A10" s="4"/>
      <c r="B10" s="7"/>
      <c r="C10" s="8"/>
      <c r="D10" s="4"/>
      <c r="E10" s="4"/>
    </row>
    <row r="11" spans="1:5" ht="15.7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5.7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5.7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5.7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5.7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5.7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5.7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96"/>
  <sheetViews>
    <sheetView tabSelected="1" topLeftCell="B11" zoomScale="90" zoomScaleNormal="90" workbookViewId="0" xr3:uid="{958C4451-9541-5A59-BF78-D2F731DF1C81}">
      <selection activeCell="B45" sqref="B45"/>
    </sheetView>
  </sheetViews>
  <sheetFormatPr defaultColWidth="8.85546875" defaultRowHeight="15"/>
  <cols>
    <col min="1" max="1" width="4.28515625" style="9" bestFit="1" customWidth="1"/>
    <col min="2" max="2" width="34.42578125" style="9" customWidth="1"/>
    <col min="3" max="3" width="72.85546875" style="12" bestFit="1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23.28515625" style="12" bestFit="1" customWidth="1"/>
    <col min="8" max="8" width="45.28515625" style="12" bestFit="1" customWidth="1"/>
    <col min="9" max="16384" width="8.85546875" style="12"/>
  </cols>
  <sheetData>
    <row r="1" spans="2:5">
      <c r="B1" s="10" t="s">
        <v>11</v>
      </c>
      <c r="C1" s="11" t="s">
        <v>12</v>
      </c>
    </row>
    <row r="2" spans="2:5">
      <c r="B2" s="10" t="s">
        <v>13</v>
      </c>
      <c r="C2" s="11" t="s">
        <v>14</v>
      </c>
    </row>
    <row r="3" spans="2:5">
      <c r="B3" s="10" t="s">
        <v>15</v>
      </c>
      <c r="C3" s="11" t="str">
        <f>+"/api/v1.0.0/party/"&amp;C1</f>
        <v>/api/v1.0.0/party/EL0004</v>
      </c>
    </row>
    <row r="4" spans="2:5" ht="90.4">
      <c r="B4" s="10" t="s">
        <v>16</v>
      </c>
      <c r="C4" s="13" t="s">
        <v>17</v>
      </c>
    </row>
    <row r="5" spans="2:5">
      <c r="B5" s="10" t="s">
        <v>18</v>
      </c>
      <c r="C5" s="11" t="s">
        <v>19</v>
      </c>
    </row>
    <row r="6" spans="2:5">
      <c r="B6" s="10" t="s">
        <v>20</v>
      </c>
      <c r="C6" s="11" t="s">
        <v>21</v>
      </c>
    </row>
    <row r="7" spans="2:5">
      <c r="B7" s="10" t="s">
        <v>22</v>
      </c>
      <c r="C7" s="11" t="s">
        <v>23</v>
      </c>
    </row>
    <row r="8" spans="2:5">
      <c r="B8" s="10" t="s">
        <v>24</v>
      </c>
      <c r="C8" s="11" t="str">
        <f>+"ENQ.API."&amp;$C$1&amp;".1.0.0"</f>
        <v>ENQ.API.EL0004.1.0.0</v>
      </c>
    </row>
    <row r="9" spans="2:5">
      <c r="B9" s="12"/>
    </row>
    <row r="10" spans="2:5">
      <c r="B10" s="12"/>
    </row>
    <row r="11" spans="2:5">
      <c r="B11" s="10" t="s">
        <v>25</v>
      </c>
      <c r="C11" s="14" t="s">
        <v>26</v>
      </c>
      <c r="D11" s="10" t="s">
        <v>27</v>
      </c>
      <c r="E11" s="15" t="s">
        <v>28</v>
      </c>
    </row>
    <row r="12" spans="2:5">
      <c r="B12" s="16" t="s">
        <v>29</v>
      </c>
      <c r="C12" s="17" t="s">
        <v>30</v>
      </c>
      <c r="D12" s="11" t="s">
        <v>31</v>
      </c>
      <c r="E12" s="11"/>
    </row>
    <row r="13" spans="2:5">
      <c r="B13" s="16" t="s">
        <v>32</v>
      </c>
      <c r="C13" s="17" t="s">
        <v>33</v>
      </c>
      <c r="D13" s="11" t="s">
        <v>34</v>
      </c>
      <c r="E13" s="11"/>
    </row>
    <row r="14" spans="2:5">
      <c r="B14" s="11" t="s">
        <v>35</v>
      </c>
      <c r="C14" s="17" t="s">
        <v>36</v>
      </c>
      <c r="D14" s="11" t="s">
        <v>34</v>
      </c>
      <c r="E14" s="11" t="s">
        <v>37</v>
      </c>
    </row>
    <row r="15" spans="2:5">
      <c r="B15" s="11" t="s">
        <v>38</v>
      </c>
      <c r="C15" s="17" t="s">
        <v>39</v>
      </c>
      <c r="D15" s="11" t="s">
        <v>34</v>
      </c>
      <c r="E15" s="11"/>
    </row>
    <row r="16" spans="2:5">
      <c r="B16" s="16" t="s">
        <v>40</v>
      </c>
      <c r="C16" s="17" t="s">
        <v>41</v>
      </c>
      <c r="D16" s="11" t="s">
        <v>31</v>
      </c>
      <c r="E16" s="11"/>
    </row>
    <row r="17" spans="1:8">
      <c r="B17" s="16" t="s">
        <v>42</v>
      </c>
      <c r="C17" s="17" t="s">
        <v>43</v>
      </c>
      <c r="D17" s="11" t="s">
        <v>34</v>
      </c>
      <c r="E17" s="11"/>
    </row>
    <row r="18" spans="1:8">
      <c r="B18" s="11" t="s">
        <v>44</v>
      </c>
      <c r="C18" s="17" t="s">
        <v>45</v>
      </c>
      <c r="D18" s="11" t="s">
        <v>34</v>
      </c>
      <c r="E18" s="11"/>
    </row>
    <row r="19" spans="1:8">
      <c r="B19" s="11" t="s">
        <v>46</v>
      </c>
      <c r="C19" s="17" t="s">
        <v>47</v>
      </c>
      <c r="D19" s="11" t="s">
        <v>34</v>
      </c>
      <c r="E19" s="11"/>
    </row>
    <row r="20" spans="1:8">
      <c r="B20" s="11" t="s">
        <v>48</v>
      </c>
      <c r="C20" s="17" t="s">
        <v>49</v>
      </c>
      <c r="D20" s="11" t="s">
        <v>34</v>
      </c>
      <c r="E20" s="11"/>
    </row>
    <row r="21" spans="1:8">
      <c r="B21" s="12"/>
      <c r="D21" s="18"/>
    </row>
    <row r="22" spans="1:8">
      <c r="A22" s="19"/>
      <c r="B22" s="18"/>
      <c r="C22" s="19"/>
      <c r="D22" s="18"/>
      <c r="E22" s="18"/>
      <c r="F22" s="18"/>
    </row>
    <row r="23" spans="1:8" s="22" customFormat="1">
      <c r="A23" s="20" t="s">
        <v>50</v>
      </c>
      <c r="B23" s="20" t="s">
        <v>51</v>
      </c>
      <c r="C23" s="20" t="s">
        <v>52</v>
      </c>
      <c r="D23" s="21" t="s">
        <v>53</v>
      </c>
      <c r="E23" s="20" t="s">
        <v>54</v>
      </c>
      <c r="F23" s="20" t="s">
        <v>55</v>
      </c>
      <c r="G23" s="20" t="s">
        <v>56</v>
      </c>
      <c r="H23" s="20" t="s">
        <v>56</v>
      </c>
    </row>
    <row r="24" spans="1:8" s="22" customFormat="1">
      <c r="A24" s="34"/>
      <c r="B24" s="34" t="s">
        <v>57</v>
      </c>
      <c r="C24" s="34" t="s">
        <v>58</v>
      </c>
      <c r="D24" s="34" t="s">
        <v>59</v>
      </c>
      <c r="E24" s="34" t="s">
        <v>60</v>
      </c>
      <c r="F24" s="34" t="s">
        <v>61</v>
      </c>
      <c r="G24" s="34" t="s">
        <v>62</v>
      </c>
      <c r="H24" s="34" t="s">
        <v>63</v>
      </c>
    </row>
    <row r="25" spans="1:8">
      <c r="A25" s="12">
        <v>1</v>
      </c>
      <c r="B25" s="12" t="s">
        <v>64</v>
      </c>
      <c r="C25" s="12" t="s">
        <v>65</v>
      </c>
      <c r="F25" s="12" t="s">
        <v>66</v>
      </c>
      <c r="G25" s="9" t="s">
        <v>67</v>
      </c>
      <c r="H25" s="9" t="s">
        <v>68</v>
      </c>
    </row>
    <row r="26" spans="1:8">
      <c r="A26" s="12">
        <v>2</v>
      </c>
      <c r="B26" s="12" t="s">
        <v>69</v>
      </c>
      <c r="C26" s="12" t="s">
        <v>70</v>
      </c>
      <c r="F26" s="12" t="s">
        <v>66</v>
      </c>
      <c r="G26" s="9" t="s">
        <v>71</v>
      </c>
      <c r="H26" s="35" t="s">
        <v>72</v>
      </c>
    </row>
    <row r="27" spans="1:8">
      <c r="A27" s="12">
        <v>3</v>
      </c>
      <c r="B27" s="12" t="s">
        <v>35</v>
      </c>
      <c r="C27" s="12" t="s">
        <v>36</v>
      </c>
      <c r="F27" s="12" t="s">
        <v>73</v>
      </c>
      <c r="G27" s="9" t="s">
        <v>74</v>
      </c>
      <c r="H27" s="35" t="s">
        <v>75</v>
      </c>
    </row>
    <row r="28" spans="1:8">
      <c r="A28" s="12">
        <v>4</v>
      </c>
      <c r="B28" s="12" t="s">
        <v>29</v>
      </c>
      <c r="C28" s="12" t="s">
        <v>30</v>
      </c>
      <c r="F28" s="12" t="s">
        <v>76</v>
      </c>
      <c r="G28" s="9" t="s">
        <v>77</v>
      </c>
      <c r="H28" s="9" t="s">
        <v>78</v>
      </c>
    </row>
    <row r="29" spans="1:8">
      <c r="A29" s="12">
        <v>5</v>
      </c>
      <c r="B29" s="12" t="s">
        <v>79</v>
      </c>
      <c r="C29" s="12" t="s">
        <v>80</v>
      </c>
      <c r="F29" s="12" t="s">
        <v>81</v>
      </c>
      <c r="G29" s="9" t="s">
        <v>82</v>
      </c>
      <c r="H29" s="9" t="s">
        <v>83</v>
      </c>
    </row>
    <row r="30" spans="1:8">
      <c r="A30" s="12">
        <v>6</v>
      </c>
      <c r="B30" s="12" t="s">
        <v>84</v>
      </c>
      <c r="C30" s="12" t="s">
        <v>85</v>
      </c>
      <c r="F30" s="12" t="s">
        <v>86</v>
      </c>
      <c r="G30" s="9" t="s">
        <v>87</v>
      </c>
      <c r="H30" s="9" t="s">
        <v>88</v>
      </c>
    </row>
    <row r="31" spans="1:8">
      <c r="A31" s="12">
        <v>7</v>
      </c>
      <c r="B31" s="12" t="s">
        <v>89</v>
      </c>
      <c r="C31" s="12" t="s">
        <v>90</v>
      </c>
      <c r="F31" s="12" t="s">
        <v>91</v>
      </c>
      <c r="G31" s="12" t="s">
        <v>92</v>
      </c>
      <c r="H31" s="36" t="s">
        <v>93</v>
      </c>
    </row>
    <row r="32" spans="1:8">
      <c r="A32" s="12">
        <v>8</v>
      </c>
      <c r="B32" s="9" t="s">
        <v>94</v>
      </c>
      <c r="C32" s="12" t="s">
        <v>95</v>
      </c>
      <c r="F32" s="12" t="s">
        <v>96</v>
      </c>
      <c r="G32" s="12" t="s">
        <v>97</v>
      </c>
      <c r="H32" s="12" t="s">
        <v>98</v>
      </c>
    </row>
    <row r="33" spans="1:8">
      <c r="A33" s="12">
        <v>9</v>
      </c>
      <c r="B33" s="9" t="s">
        <v>99</v>
      </c>
      <c r="C33" s="12" t="s">
        <v>100</v>
      </c>
      <c r="F33" s="12" t="s">
        <v>101</v>
      </c>
      <c r="G33" s="12" t="s">
        <v>102</v>
      </c>
      <c r="H33" s="12" t="s">
        <v>103</v>
      </c>
    </row>
    <row r="34" spans="1:8">
      <c r="A34" s="12">
        <v>10</v>
      </c>
      <c r="B34" s="9" t="s">
        <v>104</v>
      </c>
      <c r="C34" s="12" t="s">
        <v>105</v>
      </c>
      <c r="F34" s="12" t="s">
        <v>101</v>
      </c>
      <c r="G34" s="36" t="s">
        <v>106</v>
      </c>
      <c r="H34" s="12" t="s">
        <v>107</v>
      </c>
    </row>
    <row r="35" spans="1:8">
      <c r="A35" s="12">
        <v>11</v>
      </c>
      <c r="B35" s="9" t="s">
        <v>108</v>
      </c>
      <c r="C35" s="12" t="s">
        <v>109</v>
      </c>
      <c r="F35" s="12" t="s">
        <v>96</v>
      </c>
      <c r="G35" s="12" t="s">
        <v>110</v>
      </c>
      <c r="H35" s="12" t="s">
        <v>111</v>
      </c>
    </row>
    <row r="36" spans="1:8">
      <c r="A36" s="12">
        <v>12</v>
      </c>
      <c r="B36" s="9" t="s">
        <v>112</v>
      </c>
      <c r="C36" s="12" t="s">
        <v>113</v>
      </c>
      <c r="F36" s="12" t="s">
        <v>81</v>
      </c>
      <c r="G36" s="12" t="s">
        <v>114</v>
      </c>
      <c r="H36" s="12" t="s">
        <v>115</v>
      </c>
    </row>
    <row r="37" spans="1:8">
      <c r="A37" s="12">
        <v>13</v>
      </c>
      <c r="B37" s="9" t="s">
        <v>116</v>
      </c>
      <c r="C37" s="12" t="s">
        <v>117</v>
      </c>
      <c r="F37" s="12" t="s">
        <v>118</v>
      </c>
      <c r="G37" s="12" t="s">
        <v>119</v>
      </c>
      <c r="H37" s="12" t="s">
        <v>120</v>
      </c>
    </row>
    <row r="38" spans="1:8">
      <c r="A38" s="12">
        <v>14</v>
      </c>
      <c r="B38" s="9" t="s">
        <v>121</v>
      </c>
      <c r="C38" s="12" t="s">
        <v>122</v>
      </c>
      <c r="F38" s="12" t="s">
        <v>101</v>
      </c>
      <c r="G38" s="12" t="s">
        <v>123</v>
      </c>
      <c r="H38" s="12" t="s">
        <v>124</v>
      </c>
    </row>
    <row r="39" spans="1:8">
      <c r="A39" s="12">
        <v>15</v>
      </c>
      <c r="B39" s="9" t="s">
        <v>125</v>
      </c>
      <c r="C39" s="12" t="s">
        <v>126</v>
      </c>
      <c r="F39" s="12" t="s">
        <v>96</v>
      </c>
      <c r="G39" s="36" t="s">
        <v>127</v>
      </c>
      <c r="H39" s="12" t="s">
        <v>128</v>
      </c>
    </row>
    <row r="40" spans="1:8">
      <c r="A40" s="12">
        <v>16</v>
      </c>
      <c r="B40" s="9" t="s">
        <v>129</v>
      </c>
      <c r="C40" s="12" t="s">
        <v>130</v>
      </c>
      <c r="F40" s="12" t="s">
        <v>101</v>
      </c>
      <c r="G40" s="12" t="s">
        <v>131</v>
      </c>
      <c r="H40" s="12" t="s">
        <v>132</v>
      </c>
    </row>
    <row r="41" spans="1:8">
      <c r="A41" s="12">
        <v>17</v>
      </c>
      <c r="B41" s="9" t="s">
        <v>133</v>
      </c>
      <c r="C41" s="12" t="s">
        <v>134</v>
      </c>
      <c r="F41" s="12" t="s">
        <v>96</v>
      </c>
      <c r="G41" s="36" t="s">
        <v>135</v>
      </c>
    </row>
    <row r="42" spans="1:8">
      <c r="A42" s="12">
        <v>18</v>
      </c>
      <c r="B42" s="9" t="s">
        <v>136</v>
      </c>
      <c r="C42" s="12" t="s">
        <v>137</v>
      </c>
      <c r="F42" s="12" t="s">
        <v>101</v>
      </c>
      <c r="G42" s="12" t="s">
        <v>138</v>
      </c>
      <c r="H42" s="12" t="s">
        <v>139</v>
      </c>
    </row>
    <row r="43" spans="1:8">
      <c r="A43" s="12">
        <v>19</v>
      </c>
      <c r="B43" s="9" t="s">
        <v>140</v>
      </c>
      <c r="C43" s="12" t="s">
        <v>141</v>
      </c>
      <c r="F43" s="12" t="s">
        <v>101</v>
      </c>
      <c r="G43" s="12" t="s">
        <v>142</v>
      </c>
      <c r="H43" s="12" t="s">
        <v>143</v>
      </c>
    </row>
    <row r="44" spans="1:8" ht="14.45" customHeight="1">
      <c r="A44" s="12">
        <v>20</v>
      </c>
      <c r="B44" s="9" t="s">
        <v>144</v>
      </c>
      <c r="C44" s="12" t="s">
        <v>145</v>
      </c>
      <c r="F44" s="12" t="s">
        <v>146</v>
      </c>
      <c r="G44" s="12" t="s">
        <v>147</v>
      </c>
      <c r="H44" s="12" t="s">
        <v>148</v>
      </c>
    </row>
    <row r="45" spans="1:8">
      <c r="A45" s="12">
        <v>21</v>
      </c>
      <c r="B45" s="9" t="s">
        <v>149</v>
      </c>
      <c r="C45" s="12" t="s">
        <v>150</v>
      </c>
      <c r="F45" s="12" t="s">
        <v>101</v>
      </c>
      <c r="G45" s="12" t="s">
        <v>151</v>
      </c>
      <c r="H45" s="12" t="s">
        <v>152</v>
      </c>
    </row>
    <row r="46" spans="1:8">
      <c r="A46" s="12">
        <v>22</v>
      </c>
      <c r="B46" s="9" t="s">
        <v>153</v>
      </c>
      <c r="C46" s="12" t="s">
        <v>154</v>
      </c>
      <c r="F46" s="12" t="s">
        <v>96</v>
      </c>
      <c r="G46" s="36" t="s">
        <v>155</v>
      </c>
    </row>
    <row r="47" spans="1:8">
      <c r="A47" s="12">
        <v>23</v>
      </c>
      <c r="B47" s="9" t="s">
        <v>156</v>
      </c>
      <c r="C47" s="12" t="s">
        <v>157</v>
      </c>
      <c r="F47" s="12" t="s">
        <v>101</v>
      </c>
      <c r="G47" s="12" t="s">
        <v>158</v>
      </c>
      <c r="H47" s="12" t="s">
        <v>159</v>
      </c>
    </row>
    <row r="48" spans="1:8">
      <c r="A48" s="12">
        <v>24</v>
      </c>
      <c r="B48" s="9" t="s">
        <v>160</v>
      </c>
      <c r="C48" s="12" t="s">
        <v>161</v>
      </c>
      <c r="F48" s="12" t="s">
        <v>101</v>
      </c>
      <c r="G48" s="12" t="s">
        <v>162</v>
      </c>
      <c r="H48" s="12" t="s">
        <v>163</v>
      </c>
    </row>
    <row r="49" spans="1:8">
      <c r="A49" s="12">
        <v>25</v>
      </c>
      <c r="B49" s="9" t="s">
        <v>164</v>
      </c>
      <c r="C49" s="12" t="s">
        <v>165</v>
      </c>
      <c r="F49" s="12" t="s">
        <v>96</v>
      </c>
      <c r="G49" s="36" t="s">
        <v>166</v>
      </c>
      <c r="H49" s="12" t="s">
        <v>167</v>
      </c>
    </row>
    <row r="50" spans="1:8">
      <c r="A50" s="12">
        <v>26</v>
      </c>
      <c r="B50" s="9" t="s">
        <v>168</v>
      </c>
      <c r="C50" s="12" t="s">
        <v>169</v>
      </c>
      <c r="F50" s="12" t="s">
        <v>170</v>
      </c>
      <c r="G50" s="12" t="s">
        <v>171</v>
      </c>
      <c r="H50" s="12" t="s">
        <v>172</v>
      </c>
    </row>
    <row r="51" spans="1:8">
      <c r="A51" s="12">
        <v>27</v>
      </c>
      <c r="B51" s="9" t="s">
        <v>173</v>
      </c>
      <c r="C51" s="12" t="s">
        <v>174</v>
      </c>
      <c r="F51" s="12" t="s">
        <v>86</v>
      </c>
      <c r="G51" s="12" t="s">
        <v>175</v>
      </c>
      <c r="H51" s="12" t="s">
        <v>176</v>
      </c>
    </row>
    <row r="52" spans="1:8">
      <c r="A52" s="12">
        <v>28</v>
      </c>
      <c r="B52" s="9" t="s">
        <v>177</v>
      </c>
      <c r="C52" s="12" t="s">
        <v>178</v>
      </c>
      <c r="F52" s="12" t="s">
        <v>146</v>
      </c>
      <c r="G52" s="12" t="s">
        <v>179</v>
      </c>
      <c r="H52" s="12" t="s">
        <v>180</v>
      </c>
    </row>
    <row r="53" spans="1:8">
      <c r="A53" s="12">
        <v>29</v>
      </c>
      <c r="B53" s="9" t="s">
        <v>181</v>
      </c>
      <c r="C53" s="12" t="s">
        <v>182</v>
      </c>
      <c r="F53" s="12" t="s">
        <v>183</v>
      </c>
      <c r="G53" s="12" t="s">
        <v>184</v>
      </c>
      <c r="H53" s="12" t="s">
        <v>185</v>
      </c>
    </row>
    <row r="54" spans="1:8">
      <c r="A54" s="12">
        <v>30</v>
      </c>
      <c r="B54" s="9" t="s">
        <v>186</v>
      </c>
      <c r="C54" s="12" t="s">
        <v>187</v>
      </c>
      <c r="F54" s="12" t="s">
        <v>73</v>
      </c>
      <c r="G54" s="36" t="s">
        <v>188</v>
      </c>
      <c r="H54" s="12" t="s">
        <v>189</v>
      </c>
    </row>
    <row r="55" spans="1:8">
      <c r="A55" s="12">
        <v>31</v>
      </c>
      <c r="B55" s="9" t="s">
        <v>190</v>
      </c>
      <c r="C55" s="12" t="s">
        <v>191</v>
      </c>
      <c r="F55" s="12" t="s">
        <v>146</v>
      </c>
      <c r="G55" s="12" t="s">
        <v>192</v>
      </c>
      <c r="H55" s="12" t="s">
        <v>193</v>
      </c>
    </row>
    <row r="56" spans="1:8" ht="14.45" customHeight="1">
      <c r="A56" s="12">
        <v>32</v>
      </c>
      <c r="B56" s="9" t="s">
        <v>194</v>
      </c>
      <c r="C56" s="12" t="s">
        <v>195</v>
      </c>
      <c r="F56" s="12" t="s">
        <v>196</v>
      </c>
      <c r="G56" s="12" t="s">
        <v>197</v>
      </c>
      <c r="H56" s="12" t="s">
        <v>198</v>
      </c>
    </row>
    <row r="57" spans="1:8">
      <c r="A57" s="12">
        <v>33</v>
      </c>
      <c r="B57" s="9" t="s">
        <v>199</v>
      </c>
      <c r="C57" s="12" t="s">
        <v>200</v>
      </c>
      <c r="F57" s="12" t="s">
        <v>101</v>
      </c>
      <c r="G57" s="12" t="s">
        <v>201</v>
      </c>
      <c r="H57" s="12" t="s">
        <v>202</v>
      </c>
    </row>
    <row r="58" spans="1:8">
      <c r="A58" s="12">
        <v>34</v>
      </c>
      <c r="B58" s="9" t="s">
        <v>203</v>
      </c>
      <c r="C58" s="12" t="s">
        <v>204</v>
      </c>
      <c r="F58" s="12" t="s">
        <v>196</v>
      </c>
      <c r="G58" s="12" t="s">
        <v>205</v>
      </c>
      <c r="H58" s="12" t="s">
        <v>206</v>
      </c>
    </row>
    <row r="59" spans="1:8">
      <c r="A59" s="12">
        <v>35</v>
      </c>
      <c r="B59" s="9" t="s">
        <v>207</v>
      </c>
      <c r="C59" s="12" t="s">
        <v>208</v>
      </c>
      <c r="F59" s="12" t="s">
        <v>209</v>
      </c>
      <c r="G59" s="12" t="s">
        <v>210</v>
      </c>
      <c r="H59" s="12" t="s">
        <v>211</v>
      </c>
    </row>
    <row r="60" spans="1:8">
      <c r="A60" s="12">
        <v>36</v>
      </c>
      <c r="B60" s="9" t="s">
        <v>212</v>
      </c>
      <c r="C60" s="12" t="s">
        <v>213</v>
      </c>
      <c r="F60" s="12" t="s">
        <v>101</v>
      </c>
      <c r="G60" s="12" t="s">
        <v>214</v>
      </c>
      <c r="H60" s="12" t="s">
        <v>215</v>
      </c>
    </row>
    <row r="61" spans="1:8">
      <c r="A61" s="12">
        <v>37</v>
      </c>
      <c r="B61" s="9" t="s">
        <v>216</v>
      </c>
      <c r="C61" s="12" t="s">
        <v>217</v>
      </c>
      <c r="F61" s="12" t="s">
        <v>73</v>
      </c>
      <c r="G61" s="12" t="s">
        <v>218</v>
      </c>
      <c r="H61" s="12" t="s">
        <v>219</v>
      </c>
    </row>
    <row r="62" spans="1:8">
      <c r="A62" s="12">
        <v>38</v>
      </c>
      <c r="B62" s="9" t="s">
        <v>220</v>
      </c>
      <c r="C62" s="12" t="s">
        <v>221</v>
      </c>
      <c r="F62" s="12" t="s">
        <v>101</v>
      </c>
      <c r="G62" s="36" t="s">
        <v>222</v>
      </c>
      <c r="H62" s="12" t="s">
        <v>223</v>
      </c>
    </row>
    <row r="63" spans="1:8">
      <c r="A63" s="12">
        <v>39</v>
      </c>
      <c r="B63" s="9" t="s">
        <v>224</v>
      </c>
      <c r="C63" s="12" t="s">
        <v>225</v>
      </c>
      <c r="F63" s="12" t="s">
        <v>73</v>
      </c>
      <c r="G63" s="36" t="s">
        <v>226</v>
      </c>
      <c r="H63" s="12" t="s">
        <v>227</v>
      </c>
    </row>
    <row r="64" spans="1:8">
      <c r="A64" s="12">
        <v>40</v>
      </c>
      <c r="B64" s="9" t="s">
        <v>228</v>
      </c>
      <c r="C64" s="12" t="s">
        <v>229</v>
      </c>
      <c r="F64" s="12" t="s">
        <v>101</v>
      </c>
      <c r="G64" s="36" t="s">
        <v>230</v>
      </c>
      <c r="H64" s="12" t="s">
        <v>231</v>
      </c>
    </row>
    <row r="65" spans="1:8">
      <c r="A65" s="12">
        <v>41</v>
      </c>
      <c r="B65" s="9" t="s">
        <v>232</v>
      </c>
      <c r="C65" s="12" t="s">
        <v>233</v>
      </c>
      <c r="F65" s="12" t="s">
        <v>101</v>
      </c>
      <c r="G65" s="36" t="s">
        <v>234</v>
      </c>
      <c r="H65" s="12" t="s">
        <v>124</v>
      </c>
    </row>
    <row r="66" spans="1:8">
      <c r="A66" s="12">
        <v>42</v>
      </c>
      <c r="B66" s="9" t="s">
        <v>235</v>
      </c>
      <c r="C66" s="12" t="s">
        <v>236</v>
      </c>
      <c r="F66" s="12" t="s">
        <v>101</v>
      </c>
      <c r="G66" s="12" t="s">
        <v>237</v>
      </c>
      <c r="H66" s="12" t="s">
        <v>238</v>
      </c>
    </row>
    <row r="67" spans="1:8">
      <c r="A67" s="12">
        <v>43</v>
      </c>
      <c r="B67" s="9" t="s">
        <v>239</v>
      </c>
      <c r="C67" s="12" t="s">
        <v>240</v>
      </c>
      <c r="F67" s="12" t="s">
        <v>73</v>
      </c>
      <c r="G67" s="36" t="s">
        <v>241</v>
      </c>
      <c r="H67" s="12" t="s">
        <v>242</v>
      </c>
    </row>
    <row r="68" spans="1:8">
      <c r="A68" s="12">
        <v>44</v>
      </c>
      <c r="B68" s="9" t="s">
        <v>243</v>
      </c>
      <c r="C68" s="12" t="s">
        <v>244</v>
      </c>
      <c r="F68" s="12" t="s">
        <v>73</v>
      </c>
      <c r="G68" s="12" t="s">
        <v>245</v>
      </c>
      <c r="H68" s="12" t="s">
        <v>246</v>
      </c>
    </row>
    <row r="69" spans="1:8">
      <c r="A69" s="12">
        <v>45</v>
      </c>
      <c r="B69" s="9" t="s">
        <v>247</v>
      </c>
      <c r="C69" s="12" t="s">
        <v>248</v>
      </c>
      <c r="F69" s="12" t="s">
        <v>73</v>
      </c>
      <c r="G69" s="36" t="s">
        <v>249</v>
      </c>
      <c r="H69" s="12" t="s">
        <v>250</v>
      </c>
    </row>
    <row r="70" spans="1:8">
      <c r="A70" s="12">
        <v>46</v>
      </c>
      <c r="B70" s="9" t="s">
        <v>251</v>
      </c>
      <c r="C70" s="12" t="s">
        <v>252</v>
      </c>
      <c r="G70" s="36" t="s">
        <v>253</v>
      </c>
      <c r="H70" s="12" t="s">
        <v>254</v>
      </c>
    </row>
    <row r="71" spans="1:8">
      <c r="A71" s="12">
        <v>47</v>
      </c>
      <c r="B71" s="9" t="s">
        <v>255</v>
      </c>
      <c r="C71" s="12" t="s">
        <v>256</v>
      </c>
      <c r="F71" s="12" t="s">
        <v>101</v>
      </c>
      <c r="G71" s="12" t="s">
        <v>102</v>
      </c>
      <c r="H71" s="12" t="s">
        <v>103</v>
      </c>
    </row>
    <row r="72" spans="1:8">
      <c r="A72" s="12">
        <v>48</v>
      </c>
      <c r="B72" s="9" t="s">
        <v>257</v>
      </c>
      <c r="C72" s="12" t="s">
        <v>258</v>
      </c>
      <c r="F72" s="12" t="s">
        <v>101</v>
      </c>
      <c r="G72" s="12" t="s">
        <v>123</v>
      </c>
      <c r="H72" s="12" t="s">
        <v>124</v>
      </c>
    </row>
    <row r="73" spans="1:8">
      <c r="A73" s="12">
        <v>49</v>
      </c>
      <c r="B73" s="9" t="s">
        <v>259</v>
      </c>
      <c r="C73" s="12" t="s">
        <v>260</v>
      </c>
      <c r="F73" s="12" t="s">
        <v>101</v>
      </c>
      <c r="G73" s="12" t="s">
        <v>138</v>
      </c>
      <c r="H73" s="12" t="s">
        <v>139</v>
      </c>
    </row>
    <row r="74" spans="1:8">
      <c r="A74" s="12">
        <v>50</v>
      </c>
      <c r="B74" s="9" t="s">
        <v>261</v>
      </c>
      <c r="C74" s="12" t="s">
        <v>262</v>
      </c>
      <c r="F74" s="12" t="s">
        <v>101</v>
      </c>
      <c r="G74" s="12" t="s">
        <v>158</v>
      </c>
      <c r="H74" s="12" t="s">
        <v>159</v>
      </c>
    </row>
    <row r="75" spans="1:8">
      <c r="A75" s="12">
        <v>51</v>
      </c>
      <c r="B75" s="9" t="s">
        <v>263</v>
      </c>
      <c r="C75" s="12" t="s">
        <v>264</v>
      </c>
      <c r="F75" s="12" t="s">
        <v>101</v>
      </c>
      <c r="G75" s="12" t="s">
        <v>265</v>
      </c>
      <c r="H75" s="12" t="s">
        <v>107</v>
      </c>
    </row>
    <row r="76" spans="1:8">
      <c r="A76" s="12">
        <v>52</v>
      </c>
      <c r="B76" s="9" t="s">
        <v>266</v>
      </c>
      <c r="C76" s="12" t="s">
        <v>267</v>
      </c>
      <c r="F76" s="12" t="s">
        <v>101</v>
      </c>
      <c r="G76" s="36" t="s">
        <v>268</v>
      </c>
      <c r="H76" s="12" t="s">
        <v>143</v>
      </c>
    </row>
    <row r="77" spans="1:8">
      <c r="A77" s="12">
        <v>53</v>
      </c>
      <c r="B77" s="9" t="s">
        <v>269</v>
      </c>
      <c r="C77" s="12" t="s">
        <v>270</v>
      </c>
      <c r="F77" s="12" t="s">
        <v>101</v>
      </c>
      <c r="G77" s="36" t="s">
        <v>271</v>
      </c>
    </row>
    <row r="78" spans="1:8">
      <c r="A78" s="12">
        <v>54</v>
      </c>
      <c r="B78" s="9" t="s">
        <v>272</v>
      </c>
      <c r="C78" s="12" t="s">
        <v>273</v>
      </c>
      <c r="F78" s="12" t="s">
        <v>101</v>
      </c>
      <c r="G78" s="36" t="s">
        <v>274</v>
      </c>
    </row>
    <row r="79" spans="1:8">
      <c r="A79" s="12">
        <v>55</v>
      </c>
      <c r="B79" s="9" t="s">
        <v>275</v>
      </c>
      <c r="C79" s="12" t="s">
        <v>276</v>
      </c>
      <c r="F79" s="12" t="s">
        <v>73</v>
      </c>
      <c r="G79" s="12" t="s">
        <v>277</v>
      </c>
      <c r="H79" s="12" t="s">
        <v>278</v>
      </c>
    </row>
    <row r="80" spans="1:8">
      <c r="A80" s="12">
        <v>56</v>
      </c>
      <c r="B80" s="9" t="s">
        <v>279</v>
      </c>
      <c r="C80" s="12" t="s">
        <v>280</v>
      </c>
    </row>
    <row r="81" spans="1:8">
      <c r="A81" s="12">
        <v>57</v>
      </c>
      <c r="B81" s="9" t="s">
        <v>281</v>
      </c>
      <c r="C81" s="12" t="s">
        <v>282</v>
      </c>
      <c r="F81" s="12" t="s">
        <v>96</v>
      </c>
      <c r="G81" s="12" t="s">
        <v>283</v>
      </c>
    </row>
    <row r="82" spans="1:8">
      <c r="A82" s="12">
        <v>58</v>
      </c>
      <c r="B82" s="9" t="s">
        <v>284</v>
      </c>
      <c r="C82" s="12" t="s">
        <v>285</v>
      </c>
      <c r="F82" s="12" t="s">
        <v>96</v>
      </c>
      <c r="G82" s="12" t="s">
        <v>286</v>
      </c>
      <c r="H82" s="12" t="s">
        <v>287</v>
      </c>
    </row>
    <row r="83" spans="1:8">
      <c r="A83" s="12">
        <v>59</v>
      </c>
      <c r="B83" s="9" t="s">
        <v>288</v>
      </c>
      <c r="C83" s="12" t="s">
        <v>289</v>
      </c>
      <c r="F83" s="12" t="s">
        <v>290</v>
      </c>
      <c r="G83" s="36" t="s">
        <v>291</v>
      </c>
      <c r="H83" s="12" t="s">
        <v>292</v>
      </c>
    </row>
    <row r="84" spans="1:8">
      <c r="A84" s="12">
        <v>60</v>
      </c>
      <c r="B84" s="9" t="s">
        <v>293</v>
      </c>
      <c r="C84" s="12" t="s">
        <v>294</v>
      </c>
      <c r="F84" s="12" t="s">
        <v>183</v>
      </c>
      <c r="G84" s="12" t="s">
        <v>295</v>
      </c>
      <c r="H84" s="12" t="s">
        <v>296</v>
      </c>
    </row>
    <row r="85" spans="1:8">
      <c r="A85" s="12">
        <v>61</v>
      </c>
      <c r="B85" s="9" t="s">
        <v>297</v>
      </c>
      <c r="C85" s="12" t="s">
        <v>298</v>
      </c>
      <c r="F85" s="12" t="s">
        <v>96</v>
      </c>
      <c r="G85" s="36" t="s">
        <v>299</v>
      </c>
      <c r="H85" s="12" t="s">
        <v>300</v>
      </c>
    </row>
    <row r="86" spans="1:8">
      <c r="A86" s="12">
        <v>62</v>
      </c>
      <c r="B86" s="9" t="s">
        <v>301</v>
      </c>
      <c r="C86" s="12" t="s">
        <v>302</v>
      </c>
      <c r="F86" s="12" t="s">
        <v>86</v>
      </c>
      <c r="G86" s="36" t="s">
        <v>303</v>
      </c>
      <c r="H86" s="12" t="s">
        <v>304</v>
      </c>
    </row>
    <row r="87" spans="1:8">
      <c r="A87" s="12">
        <v>63</v>
      </c>
      <c r="B87" s="9" t="s">
        <v>305</v>
      </c>
      <c r="C87" s="12" t="s">
        <v>306</v>
      </c>
      <c r="F87" s="12" t="s">
        <v>307</v>
      </c>
      <c r="G87" s="12" t="s">
        <v>308</v>
      </c>
      <c r="H87" s="12" t="s">
        <v>309</v>
      </c>
    </row>
    <row r="88" spans="1:8">
      <c r="A88" s="12">
        <v>64</v>
      </c>
      <c r="B88" s="9" t="s">
        <v>310</v>
      </c>
      <c r="C88" s="12" t="s">
        <v>311</v>
      </c>
      <c r="F88" s="12" t="s">
        <v>312</v>
      </c>
      <c r="G88" s="12" t="s">
        <v>313</v>
      </c>
      <c r="H88" s="12" t="s">
        <v>314</v>
      </c>
    </row>
    <row r="89" spans="1:8">
      <c r="A89" s="12">
        <v>65</v>
      </c>
      <c r="B89" s="9" t="s">
        <v>315</v>
      </c>
      <c r="C89" s="12" t="s">
        <v>316</v>
      </c>
      <c r="F89" s="12" t="s">
        <v>73</v>
      </c>
      <c r="G89" s="36" t="s">
        <v>317</v>
      </c>
      <c r="H89" s="12" t="s">
        <v>318</v>
      </c>
    </row>
    <row r="90" spans="1:8">
      <c r="A90" s="12">
        <v>66</v>
      </c>
      <c r="B90" s="9" t="s">
        <v>319</v>
      </c>
      <c r="C90" s="12" t="s">
        <v>45</v>
      </c>
      <c r="F90" s="12" t="s">
        <v>320</v>
      </c>
      <c r="G90" s="12" t="s">
        <v>321</v>
      </c>
      <c r="H90" s="12" t="s">
        <v>322</v>
      </c>
    </row>
    <row r="91" spans="1:8">
      <c r="A91" s="12">
        <v>67</v>
      </c>
      <c r="B91" s="9" t="s">
        <v>323</v>
      </c>
      <c r="C91" s="12" t="s">
        <v>324</v>
      </c>
      <c r="F91" s="12" t="s">
        <v>73</v>
      </c>
      <c r="G91" s="12" t="s">
        <v>325</v>
      </c>
      <c r="H91" s="12" t="s">
        <v>326</v>
      </c>
    </row>
    <row r="92" spans="1:8">
      <c r="A92" s="12">
        <v>68</v>
      </c>
      <c r="B92" s="9" t="s">
        <v>46</v>
      </c>
      <c r="C92" s="12" t="s">
        <v>47</v>
      </c>
      <c r="F92" s="12" t="s">
        <v>327</v>
      </c>
      <c r="G92" s="12" t="s">
        <v>328</v>
      </c>
      <c r="H92" s="12" t="s">
        <v>329</v>
      </c>
    </row>
    <row r="93" spans="1:8">
      <c r="A93" s="12">
        <v>69</v>
      </c>
      <c r="B93" s="9" t="s">
        <v>330</v>
      </c>
      <c r="C93" s="12" t="s">
        <v>331</v>
      </c>
      <c r="F93" s="12" t="s">
        <v>196</v>
      </c>
      <c r="G93" s="12" t="s">
        <v>332</v>
      </c>
      <c r="H93" s="12" t="s">
        <v>333</v>
      </c>
    </row>
    <row r="94" spans="1:8">
      <c r="A94" s="12">
        <v>70</v>
      </c>
      <c r="B94" s="9" t="s">
        <v>334</v>
      </c>
      <c r="C94" s="12" t="s">
        <v>335</v>
      </c>
      <c r="F94" s="12" t="s">
        <v>73</v>
      </c>
      <c r="G94" s="36" t="s">
        <v>336</v>
      </c>
      <c r="H94" s="12" t="s">
        <v>337</v>
      </c>
    </row>
    <row r="95" spans="1:8">
      <c r="A95" s="12">
        <v>71</v>
      </c>
      <c r="B95" s="9" t="s">
        <v>338</v>
      </c>
      <c r="C95" s="12" t="s">
        <v>339</v>
      </c>
      <c r="F95" s="12" t="s">
        <v>73</v>
      </c>
      <c r="G95" s="36" t="s">
        <v>340</v>
      </c>
      <c r="H95" s="12" t="s">
        <v>341</v>
      </c>
    </row>
    <row r="96" spans="1:8">
      <c r="A96" s="12">
        <v>72</v>
      </c>
      <c r="B96" s="9" t="s">
        <v>342</v>
      </c>
      <c r="C96" s="12" t="s">
        <v>343</v>
      </c>
      <c r="G96" s="36" t="s">
        <v>344</v>
      </c>
      <c r="H96" s="12" t="s">
        <v>345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Normal="100" workbookViewId="0" xr3:uid="{842E5F09-E766-5B8D-85AF-A39847EA96FD}">
      <selection activeCell="O5" sqref="O5"/>
    </sheetView>
  </sheetViews>
  <sheetFormatPr defaultColWidth="8.85546875" defaultRowHeight="15"/>
  <cols>
    <col min="1" max="1" width="8" style="24" bestFit="1" customWidth="1"/>
    <col min="2" max="2" width="10.85546875" style="24" customWidth="1"/>
    <col min="3" max="3" width="10" style="24" bestFit="1" customWidth="1"/>
    <col min="4" max="4" width="39.5703125" style="24" bestFit="1" customWidth="1"/>
    <col min="5" max="5" width="67.7109375" style="24" customWidth="1"/>
    <col min="6" max="16384" width="8.85546875" style="24"/>
  </cols>
  <sheetData>
    <row r="1" spans="1:6">
      <c r="B1" s="23" t="s">
        <v>346</v>
      </c>
      <c r="C1" s="32" t="str">
        <f>+"http://10.11.62.82:28080/IRIS/api/v1.0.0/party/"&amp;Spec!$C$1</f>
        <v>http://10.11.62.82:28080/IRIS/api/v1.0.0/party/EL0004</v>
      </c>
      <c r="D1" s="23"/>
      <c r="E1" s="22"/>
    </row>
    <row r="2" spans="1:6" ht="15.75">
      <c r="A2" s="22"/>
      <c r="B2" s="22" t="s">
        <v>347</v>
      </c>
      <c r="C2" s="32" t="str">
        <f>+"http://10.11.62.82:58080/IRIS/api/v1.0.0/party/"&amp;Spec!$C$1</f>
        <v>http://10.11.62.82:58080/IRIS/api/v1.0.0/party/EL0004</v>
      </c>
      <c r="D2" s="12"/>
      <c r="E2" s="22"/>
    </row>
    <row r="3" spans="1:6">
      <c r="A3" s="25"/>
      <c r="B3" s="26" t="s">
        <v>348</v>
      </c>
      <c r="C3" s="27" t="s">
        <v>349</v>
      </c>
      <c r="D3" s="27" t="s">
        <v>350</v>
      </c>
      <c r="E3" s="28" t="s">
        <v>351</v>
      </c>
    </row>
    <row r="4" spans="1:6" ht="408.4" customHeight="1">
      <c r="A4" s="25"/>
      <c r="B4" s="29" t="s">
        <v>352</v>
      </c>
      <c r="C4" s="29"/>
      <c r="D4" s="31" t="s">
        <v>353</v>
      </c>
      <c r="E4" s="30" t="s">
        <v>354</v>
      </c>
    </row>
    <row r="5" spans="1:6" ht="409.6">
      <c r="B5" s="29" t="s">
        <v>352</v>
      </c>
      <c r="C5" s="29"/>
      <c r="D5" s="31" t="s">
        <v>355</v>
      </c>
      <c r="E5" s="30" t="s">
        <v>356</v>
      </c>
      <c r="F5" s="24" t="s">
        <v>357</v>
      </c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AD96FB-77C0-4504-A2B9-E352F8BC9DAE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林采霓-數位應用部-永豐銀行</cp:lastModifiedBy>
  <cp:revision/>
  <dcterms:created xsi:type="dcterms:W3CDTF">2020-03-13T10:54:50Z</dcterms:created>
  <dcterms:modified xsi:type="dcterms:W3CDTF">2023-10-24T12:49:49Z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