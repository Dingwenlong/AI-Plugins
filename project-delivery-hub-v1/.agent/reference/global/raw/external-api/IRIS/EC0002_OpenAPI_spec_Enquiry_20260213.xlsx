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D:\新增資料夾\存匯系統開發科\需求單20250704\202510010153因應KTB整併專案，敬請協助設定一般數位帳戶優惠及調整相關系統邏輯\IRIS\新增資料夾\"/>
    </mc:Choice>
  </mc:AlternateContent>
  <xr:revisionPtr revIDLastSave="0" documentId="13_ncr:1_{078D7E44-E7E0-485C-9DF4-EFD6024093B8}" xr6:coauthVersionLast="47" xr6:coauthVersionMax="47" xr10:uidLastSave="{00000000-0000-0000-0000-000000000000}"/>
  <bookViews>
    <workbookView minimized="1" xWindow="1020" yWindow="340" windowWidth="14620" windowHeight="10080" activeTab="1" xr2:uid="{00000000-000D-0000-FFFF-FFFF00000000}"/>
  </bookViews>
  <sheets>
    <sheet name="修改歷程" sheetId="1" r:id="rId1"/>
    <sheet name="規格" sheetId="2" r:id="rId2"/>
    <sheet name="JSON Request-Response" sheetId="3" r:id="rId3"/>
  </sheets>
  <definedNames>
    <definedName name="_xlnm._FilterDatabase" localSheetId="1" hidden="1">規格!$A$19:$H$116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<sst xmlns="http://schemas.openxmlformats.org/spreadsheetml/2006/main" count="518" uniqueCount="471">
  <si>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</si>
  <si>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</si>
  <si>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</si>
  <si>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</si>
  <si>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</si>
  <si>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</si>
  <si>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</si>
  <si>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</si>
  <si>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</si>
  <si>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URL</t>
  </si>
  <si>
    <t>GET</t>
  </si>
  <si>
    <t>ENQ</t>
  </si>
  <si>
    <t>SELECTION</t>
  </si>
  <si>
    <t>OPERAND</t>
  </si>
  <si>
    <t>No</t>
  </si>
  <si>
    <t>Field name</t>
  </si>
  <si>
    <t>API Vocabalary</t>
  </si>
  <si>
    <t>Single Multi</t>
  </si>
  <si>
    <t>Length</t>
  </si>
  <si>
    <t>Response json</t>
  </si>
  <si>
    <t xml:space="preserve">Notice：
</t>
    <phoneticPr fontId="3" type="noConversion"/>
  </si>
  <si>
    <t>API_Vocabalary</t>
    <phoneticPr fontId="3" type="noConversion"/>
  </si>
  <si>
    <t>ENQ / TXN / AAA</t>
    <phoneticPr fontId="3" type="noConversion"/>
  </si>
  <si>
    <t>Header</t>
    <phoneticPr fontId="3" type="noConversion"/>
  </si>
  <si>
    <t>ENQUIRY ID</t>
    <phoneticPr fontId="3" type="noConversion"/>
  </si>
  <si>
    <t>COMMENTS</t>
    <phoneticPr fontId="3" type="noConversion"/>
  </si>
  <si>
    <t>Field Description</t>
    <phoneticPr fontId="3" type="noConversion"/>
  </si>
  <si>
    <t>METHOD (GET/POST/PUT/DELETE)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</si>
  <si>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</si>
  <si>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</si>
  <si>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</si>
  <si>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GET</t>
    <phoneticPr fontId="3" type="noConversion"/>
  </si>
  <si>
    <t>Original ENQUIRY ID</t>
    <phoneticPr fontId="3" type="noConversion"/>
  </si>
  <si>
    <t>NETBANK</t>
    <phoneticPr fontId="3" type="noConversion"/>
  </si>
  <si>
    <t>MOBILE</t>
    <phoneticPr fontId="3" type="noConversion"/>
  </si>
  <si>
    <t>林仕偉</t>
    <phoneticPr fontId="3" type="noConversion"/>
  </si>
  <si>
    <t>欄位說明(中文)</t>
    <phoneticPr fontId="3" type="noConversion"/>
  </si>
  <si>
    <t>欄位說明(英文)</t>
    <phoneticPr fontId="3" type="noConversion"/>
  </si>
  <si>
    <t>EC0002</t>
  </si>
  <si>
    <t>EnqAcctId</t>
  </si>
  <si>
    <t>EnqAcctCurr</t>
  </si>
  <si>
    <t>EQ</t>
  </si>
  <si>
    <t>ENQ.ACCT.ID</t>
  </si>
  <si>
    <t>ENQ.ACCT.CURR</t>
  </si>
  <si>
    <t>E.MAIN.ACCT.ID</t>
  </si>
  <si>
    <t>E.ACCT.ID</t>
  </si>
  <si>
    <t>E.ACCT.TITLE.1</t>
  </si>
  <si>
    <t>E.ACCT.TITLE.2</t>
  </si>
  <si>
    <t>E.ACCT.SHORT.TITLE</t>
  </si>
  <si>
    <t>E.ACCT.CATG</t>
  </si>
  <si>
    <t>E.ACCT.CATG.DESC</t>
  </si>
  <si>
    <t>E.ACCT.CURR</t>
  </si>
  <si>
    <t>E.ACCT.OP.DATE</t>
  </si>
  <si>
    <t>E.ACCT.CL.DATE</t>
  </si>
  <si>
    <t>E.SECR.AC.FLG</t>
  </si>
  <si>
    <t>E.ACTIVE.CODE</t>
  </si>
  <si>
    <t>E.DES.PAY.BR</t>
  </si>
  <si>
    <t>E.LAST.TXN.DATE</t>
  </si>
  <si>
    <t>E.AC.WTD.PSWD</t>
  </si>
  <si>
    <t>E.RECOM.SIGN</t>
  </si>
  <si>
    <t>E.INACTIVE.DATE</t>
  </si>
  <si>
    <t>E.REPY.AC.FLG</t>
  </si>
  <si>
    <t>E.SHR.CHQ.FLG</t>
  </si>
  <si>
    <t>E.OPT.SSB.CODE</t>
  </si>
  <si>
    <t>E.PASSBOOK</t>
  </si>
  <si>
    <t>E.PSBK.PAGE</t>
  </si>
  <si>
    <t>E.PSBK.LINE</t>
  </si>
  <si>
    <t>E.PSBK.CONS.CNT</t>
  </si>
  <si>
    <t>E.AC.OP.SOURCE</t>
  </si>
  <si>
    <t>E.DOCU.BR</t>
  </si>
  <si>
    <t>E.RMT.ADV.BR</t>
  </si>
  <si>
    <t>E.ACCT.OFFICER</t>
  </si>
  <si>
    <t>E.AIO.FLAG</t>
  </si>
  <si>
    <t>E.AIO.TD.PRN.TOT</t>
  </si>
  <si>
    <t>E.AIO.TD.OD.FLG</t>
  </si>
  <si>
    <t>E.AIO.AUTO.FLG</t>
  </si>
  <si>
    <t>E.AIO.TD.OD.PERC</t>
  </si>
  <si>
    <t>E.AIO.TD.APP</t>
  </si>
  <si>
    <t>E.AIO.TD.APP.DESC</t>
  </si>
  <si>
    <t>E.AIO.TD.RATE.TYPE</t>
  </si>
  <si>
    <t>E.AIO.TD.TERM</t>
  </si>
  <si>
    <t>E.AIO.TD.RSV.BAL</t>
  </si>
  <si>
    <t>E.AIO.TD.MUL.AMT</t>
  </si>
  <si>
    <t>E.JNT.CUST.ID</t>
  </si>
  <si>
    <t>E.JNT.CUST.LEG.ID</t>
  </si>
  <si>
    <t>E.JNT.CUST.NAME</t>
  </si>
  <si>
    <t>E.JNT.REL.CODE</t>
  </si>
  <si>
    <t>E.MMA.LNK.AC</t>
  </si>
  <si>
    <t>E.SPH.SEC.CODE</t>
  </si>
  <si>
    <t>E.MMA.SEC.AC</t>
  </si>
  <si>
    <t>E.MMA.RSV.BAL</t>
  </si>
  <si>
    <t>E.MMA.STATUS</t>
  </si>
  <si>
    <t>E.LNK.TFR.AC</t>
  </si>
  <si>
    <t>E.DECL.DATE</t>
  </si>
  <si>
    <t>E.BID.AC.FLG</t>
  </si>
  <si>
    <t>E.SPC.DEP.MON</t>
  </si>
  <si>
    <t>E.KPI.BR</t>
  </si>
  <si>
    <t>E.LMT.AMT</t>
  </si>
  <si>
    <t>E.LMT.ID</t>
  </si>
  <si>
    <t>E.ACCT.WK.BAL</t>
  </si>
  <si>
    <t>E.ACCT.BLK.AMT</t>
  </si>
  <si>
    <t>E.ACCT.AVL.AMT</t>
  </si>
  <si>
    <t>E.AIO.M.CURR</t>
  </si>
  <si>
    <t>E.CUST.ID</t>
  </si>
  <si>
    <t>E.CUST.LEG.ID</t>
  </si>
  <si>
    <t>E.CUST.NAME.2</t>
  </si>
  <si>
    <t>E.ACCT.PST.RESTR</t>
  </si>
  <si>
    <t>E.ACCT.EVT.FLG</t>
  </si>
  <si>
    <t>E.BLK.STK.FLG</t>
  </si>
  <si>
    <t>E.PSB.CNDS</t>
  </si>
  <si>
    <t>E.FR.MMA.AC</t>
  </si>
  <si>
    <t>T.PASSBOOK.NO</t>
  </si>
  <si>
    <t>T.CHQ.PGCC.ALLW</t>
  </si>
  <si>
    <t>T.START.DATE</t>
  </si>
  <si>
    <t>E.CK.DATE</t>
  </si>
  <si>
    <t>T.SEC.ENQFLG</t>
  </si>
  <si>
    <t>E.STAIRATE.FG</t>
  </si>
  <si>
    <t>E.PASSBOOK.BR</t>
  </si>
  <si>
    <t>E.CK.REASON</t>
  </si>
  <si>
    <t>E.SPH.SEC.DESCRIPTION</t>
  </si>
  <si>
    <t>E.SPH.SALARY</t>
  </si>
  <si>
    <t>E.NONSELF.OPEN</t>
  </si>
  <si>
    <t>E.PSBK.VS.DATE</t>
  </si>
  <si>
    <t>E.PSBK.TD.PAGE</t>
  </si>
  <si>
    <t>E.PSBK.TD.LINE</t>
  </si>
  <si>
    <t>E.SEC.CLS.DATE</t>
  </si>
  <si>
    <t>E.RECOM.CLS.DATE</t>
  </si>
  <si>
    <t>E.DIGITAL.FG</t>
  </si>
  <si>
    <t>E.PROJECT</t>
  </si>
  <si>
    <t>E.PROJECT.MDATE</t>
  </si>
  <si>
    <t>E.STAIRATE.FG.DATE</t>
  </si>
  <si>
    <t>E.LNPS.ITEM</t>
  </si>
  <si>
    <t>E.LNPS.MAXAMT</t>
  </si>
  <si>
    <t>E.GUAR1.STAFFNO</t>
  </si>
  <si>
    <t>E.GUAR2.STAFFNO</t>
  </si>
  <si>
    <t>E.POCKEY.FG</t>
  </si>
  <si>
    <t>EnqEMainAcctId</t>
  </si>
  <si>
    <t>EnqEAcctId</t>
  </si>
  <si>
    <t>EnqEAcctTitle1</t>
  </si>
  <si>
    <t>EnqEAcctTitle2</t>
  </si>
  <si>
    <t>EnqEAcctShortTitle</t>
  </si>
  <si>
    <t>EnqEAcctCatg</t>
  </si>
  <si>
    <t>EnqEAcctCatgDesc</t>
  </si>
  <si>
    <t>EnqEAcctCurr</t>
  </si>
  <si>
    <t>EnqEAcctOpDate</t>
  </si>
  <si>
    <t>EnqEAcctClDate</t>
  </si>
  <si>
    <t>EnqESecrAcFlg</t>
  </si>
  <si>
    <t>EnqEActiveCode</t>
  </si>
  <si>
    <t>EnqEDesPayBr</t>
  </si>
  <si>
    <t>EnqELastTxnDate</t>
  </si>
  <si>
    <t>EnqEAcWtdPswd</t>
  </si>
  <si>
    <t>EnqERecomSign</t>
  </si>
  <si>
    <t>EnqEInactiveFlag</t>
  </si>
  <si>
    <t>EnqEInactiveDate</t>
  </si>
  <si>
    <t>EnqERepyAcFlg</t>
  </si>
  <si>
    <t>EnqEShrChqFlg</t>
  </si>
  <si>
    <t>EnqEOptSsbCode</t>
  </si>
  <si>
    <t>EnqEPassbook</t>
  </si>
  <si>
    <t>EnqEPsbkPage</t>
  </si>
  <si>
    <t>EnqEPsbkLine</t>
  </si>
  <si>
    <t>EnqEPsbkConsCnt</t>
  </si>
  <si>
    <t>EnqEAcOpSource</t>
  </si>
  <si>
    <t>EnqEDocuBr</t>
  </si>
  <si>
    <t>EnqERmtAdvBr</t>
  </si>
  <si>
    <t>EnqEAcctOfficer</t>
  </si>
  <si>
    <t>EnqEAioFlag</t>
  </si>
  <si>
    <t>EnqEAioTdPrnTot</t>
  </si>
  <si>
    <t>EnqEAioTdOdFlg</t>
  </si>
  <si>
    <t>EnqEAioAutoFlg</t>
  </si>
  <si>
    <t>EnqEAioTdOdPerc</t>
  </si>
  <si>
    <t>EnqEAioTdApp</t>
  </si>
  <si>
    <t>EnqEAioTdAppDesc</t>
  </si>
  <si>
    <t>EnqEAioTdRateType</t>
  </si>
  <si>
    <t>EnqEAioTdTerm</t>
  </si>
  <si>
    <t>EnqEAioTdRsvBal</t>
  </si>
  <si>
    <t>EnqEAioTdMulAmt</t>
  </si>
  <si>
    <t>EnqEJntCustId</t>
  </si>
  <si>
    <t>EnqEJntCustLegId</t>
  </si>
  <si>
    <t>EnqEJntCustName</t>
  </si>
  <si>
    <t>EnqEJntRelCode</t>
  </si>
  <si>
    <t>EnqEMmaLnkAc</t>
  </si>
  <si>
    <t>EnqESphSecCode</t>
  </si>
  <si>
    <t>EnqEMmaSecAc</t>
  </si>
  <si>
    <t>EnqEMmaFlg</t>
  </si>
  <si>
    <t>EnqEMmaRsvBal</t>
  </si>
  <si>
    <t>EnqEMmaStatus</t>
  </si>
  <si>
    <t>EnqELnkTfrAc</t>
  </si>
  <si>
    <t>EnqEDeclDate</t>
  </si>
  <si>
    <t>EnqEBidAcFlg</t>
  </si>
  <si>
    <t>EnqESpcDepMon</t>
  </si>
  <si>
    <t>EnqEKpiBr</t>
  </si>
  <si>
    <t>EnqELmtAmt</t>
  </si>
  <si>
    <t>EnqELmtId</t>
  </si>
  <si>
    <t>EnqEAcctWkBal</t>
  </si>
  <si>
    <t>EnqEAcctBlkAmt</t>
  </si>
  <si>
    <t>EnqEAcctAvlAmt</t>
  </si>
  <si>
    <t>EnqEAioMCurr</t>
  </si>
  <si>
    <t>EnqECustId</t>
  </si>
  <si>
    <t>EnqECustLegId</t>
  </si>
  <si>
    <t>EnqECustName1</t>
  </si>
  <si>
    <t>EnqECustName2</t>
  </si>
  <si>
    <t>EnqEAcctPstRestr</t>
  </si>
  <si>
    <t>EnqEAcctEvtFlg</t>
  </si>
  <si>
    <t>EnqEBlkStkFlg</t>
  </si>
  <si>
    <t>EnqEPsbCnds</t>
  </si>
  <si>
    <t>EnqEFrMmaAc</t>
  </si>
  <si>
    <t>EnqTPassbookNo</t>
  </si>
  <si>
    <t>EnqTChqPgccAllw</t>
  </si>
  <si>
    <t>EnqTStartDate</t>
  </si>
  <si>
    <t>EnqECkDate</t>
  </si>
  <si>
    <t>EnqTSecEnqflg</t>
  </si>
  <si>
    <t>EnqEIntClType</t>
  </si>
  <si>
    <t>EnqEAcCrInt</t>
  </si>
  <si>
    <t>EnqEStairateFg</t>
  </si>
  <si>
    <t>EnqEPassbookBr</t>
  </si>
  <si>
    <t>EnqECkReason</t>
  </si>
  <si>
    <t>EnqESphSecDescription</t>
  </si>
  <si>
    <t>EnqESphSalary</t>
  </si>
  <si>
    <t>EnqENonselfOpen</t>
  </si>
  <si>
    <t>EnqEPsbkVsDate</t>
  </si>
  <si>
    <t>EnqEPsbkTdPage</t>
  </si>
  <si>
    <t>EnqEPsbkTdLine</t>
  </si>
  <si>
    <t>EnqESecClsDate</t>
  </si>
  <si>
    <t>EnqERecomClsDate</t>
  </si>
  <si>
    <t>EnqEDigitalFg</t>
  </si>
  <si>
    <t>EnqEProject</t>
  </si>
  <si>
    <t>EnqEProjectMdate</t>
  </si>
  <si>
    <t>EnqEStairateFgDate</t>
  </si>
  <si>
    <t>EnqELnpsItem</t>
  </si>
  <si>
    <t>EnqELnpsMaxamt</t>
  </si>
  <si>
    <t>EnqEGuar1Staffno</t>
  </si>
  <si>
    <t>EnqEGuar2Staffno</t>
  </si>
  <si>
    <t>EnqEPockeyFg</t>
  </si>
  <si>
    <t>~分隔Multi value</t>
  </si>
  <si>
    <t>35*組數</t>
  </si>
  <si>
    <t>3*組數</t>
  </si>
  <si>
    <t>6*組數</t>
  </si>
  <si>
    <t>11*組數</t>
  </si>
  <si>
    <t>8*組數</t>
  </si>
  <si>
    <t>TMB.AC.MST.DTL.ENQ</t>
    <phoneticPr fontId="3" type="noConversion"/>
  </si>
  <si>
    <t>帳號</t>
    <phoneticPr fontId="3" type="noConversion"/>
  </si>
  <si>
    <t>戶名(中文)</t>
  </si>
  <si>
    <t>戶名(英文)</t>
  </si>
  <si>
    <t>戶名(簡稱)</t>
  </si>
  <si>
    <t>幣別</t>
  </si>
  <si>
    <t>開戶日期</t>
  </si>
  <si>
    <t>帳戶啟用記號</t>
  </si>
  <si>
    <t>聯行付款設定</t>
  </si>
  <si>
    <t>上次交易日</t>
  </si>
  <si>
    <t>取款密碼</t>
  </si>
  <si>
    <t>國外證券交割/複委託證券戶記號</t>
  </si>
  <si>
    <t>Category</t>
  </si>
  <si>
    <t>Category種類</t>
  </si>
  <si>
    <t>身分證字號/統一編號</t>
  </si>
  <si>
    <t>帳戶啟用日</t>
  </si>
  <si>
    <t>專案設定</t>
  </si>
  <si>
    <t>專案到期日</t>
  </si>
  <si>
    <t>階梯式存款與專案種類</t>
  </si>
  <si>
    <t>階梯式存款與專案種類啟用日</t>
  </si>
  <si>
    <t>帳戶餘額</t>
  </si>
  <si>
    <t>透支額度</t>
  </si>
  <si>
    <t>最高可使用額</t>
  </si>
  <si>
    <t>止扣/圈存額</t>
  </si>
  <si>
    <t>複委託銷戶日</t>
  </si>
  <si>
    <t>多幣別帳戶記號</t>
  </si>
  <si>
    <t>判後圈存記號</t>
  </si>
  <si>
    <t>止付種類</t>
  </si>
  <si>
    <t>備償戶/應收帳款專戶記號</t>
  </si>
  <si>
    <t>認股權證記號</t>
  </si>
  <si>
    <t>事故記號</t>
  </si>
  <si>
    <t>代發股利專戶</t>
  </si>
  <si>
    <t>數位記號</t>
  </si>
  <si>
    <t>存摺記號</t>
  </si>
  <si>
    <t>活存頁次</t>
  </si>
  <si>
    <t>活存行次</t>
  </si>
  <si>
    <t>存摺號碼</t>
  </si>
  <si>
    <t>定存頁次</t>
  </si>
  <si>
    <t>定存行次</t>
  </si>
  <si>
    <t>存摺版本</t>
  </si>
  <si>
    <t>濃縮交易記號</t>
  </si>
  <si>
    <t>濃縮交易筆數</t>
  </si>
  <si>
    <t>通路來源</t>
  </si>
  <si>
    <t>文件保管行</t>
  </si>
  <si>
    <t>匯入款通知行</t>
  </si>
  <si>
    <t>業務人員編號</t>
  </si>
  <si>
    <t>績效行</t>
  </si>
  <si>
    <t>往來行</t>
  </si>
  <si>
    <t>對保人一員編</t>
  </si>
  <si>
    <t>對保人二員編</t>
  </si>
  <si>
    <t>台幣帳戶AIO記號</t>
  </si>
  <si>
    <t>綜存質借記號</t>
  </si>
  <si>
    <t>轉存記號</t>
  </si>
  <si>
    <t>綜存單總面額</t>
  </si>
  <si>
    <t>約轉科目</t>
  </si>
  <si>
    <t>轉存利率區分</t>
  </si>
  <si>
    <t>約定轉存期間別</t>
  </si>
  <si>
    <t>活存保留額(綜存)</t>
  </si>
  <si>
    <t>轉存單約定額</t>
  </si>
  <si>
    <t>聯名人/信託委託人統編</t>
  </si>
  <si>
    <t>聯名人/信託委託人姓名</t>
  </si>
  <si>
    <t>聯名人/信託委託人關係</t>
  </si>
  <si>
    <t>證券戶之MMA帳號</t>
  </si>
  <si>
    <t>複委託證券戶撥付帳號</t>
  </si>
  <si>
    <t>證券商代號</t>
  </si>
  <si>
    <t>證券商公司名稱</t>
  </si>
  <si>
    <t>證券銷戶日</t>
  </si>
  <si>
    <t>MMA帳號之證券戶</t>
  </si>
  <si>
    <t>授權戶帳號</t>
  </si>
  <si>
    <t>結清備付/拒往結清日</t>
  </si>
  <si>
    <t>申領本票</t>
  </si>
  <si>
    <t>拒往日期</t>
  </si>
  <si>
    <t>開戶原因</t>
  </si>
  <si>
    <t>標會理財網記號</t>
  </si>
  <si>
    <t>額度ID</t>
  </si>
  <si>
    <t>公教戶存入月份(1)</t>
  </si>
  <si>
    <t>永豐薪資戶記號</t>
  </si>
  <si>
    <t>代理開戶</t>
  </si>
  <si>
    <t>授信用途項目</t>
  </si>
  <si>
    <t>授信目的帳戶金額上限</t>
  </si>
  <si>
    <t>E.INACTIVE.FLAG</t>
    <phoneticPr fontId="3" type="noConversion"/>
  </si>
  <si>
    <t>主帳號</t>
    <phoneticPr fontId="3" type="noConversion"/>
  </si>
  <si>
    <t>餘額保密戶</t>
    <phoneticPr fontId="3" type="noConversion"/>
  </si>
  <si>
    <t>帳戶主檔查核</t>
    <phoneticPr fontId="3" type="noConversion"/>
  </si>
  <si>
    <r>
      <t>{
  "header": {
    "audit": {
      "T24_time": 168,
      "parse_time": 1
    },
    "page_start": 1,
    "page_token": "5237061391.01,99",
    "total_size": 1,
    "page_size": 99,
    "status": "success"
  },
  "body": [
    {
      "EnqEAcctOpDate": "19981015",
      "EnqEAcctAvlAmt": "1006.4",
      "EnqEAcctWkBal": "1006.4",
      "EnqERmtAdvBr": "TW8070126",
      "EnqEPassbook": "NO",
      "EnqECustId": "1022171",
      "EnqECustLegId": "F1330976620",
      "EnqEAcctCatg": "1081",
      "EnqEStairateFgDate": "20210812",
      "EnqEAcOpSource": "OTH-",
      "EnqEAcctTitle2": "ENGNAME1022171",
      "EnqEPsbCnds": "N",
      "EnqEAcctTitle1":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1022171",
      "EnqEPsbkConsCnt": "0",
      "EnqEAcctEvtFlg": "N",
      "EnqEAcctId": "00100801000034",
      "EnqELmtAmt": "0",
      "EnqEAcctBlkAmt": "0",
      "EnqEAioTdOdFlg": "N",
      "EnqEAcctShortTitle":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1022171",
      "EnqELastTxnDate": "20220916",
      "EnqEAcCrInt": "BI-0.02",
      "EnqEAioAutoFlg": "N",
      "EnqEAcWtdPswd": "2886285e",
      "EnqEAcctCurr": "USD",
      "EnqEStairateFg": "52USD",
      "EnqEAcctOfficer": "126800",
      "EnqEActiveCode": "1",
      "EnqEDocuBr": "126",
      "EnqEKpiBr": "BR0126",
      "EnqEAioMCurr": "Y",
      "EnqTStartDate": "19981015",
      "EnqEDesPayBr": "TW8079999",
      "EnqECustName1":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1022171",
      "EnqEMainAcctId": "00100800000037",
      "EnqECustName2": "ENGNAME1022171",
      "EnqEAcctCatgDesc": "</t>
    </r>
    <r>
      <rPr>
        <sz val="11"/>
        <color theme="1"/>
        <rFont val="微軟正黑體"/>
        <family val="2"/>
        <charset val="136"/>
      </rPr>
      <t>外幣組合存款</t>
    </r>
    <r>
      <rPr>
        <sz val="11"/>
        <color theme="1"/>
        <rFont val="Calibri"/>
        <family val="2"/>
      </rPr>
      <t>",
      "EnqEIntClType": "BAND"
    }
  ]
}</t>
    </r>
    <phoneticPr fontId="3" type="noConversion"/>
  </si>
  <si>
    <t>main account</t>
  </si>
  <si>
    <t>account number</t>
  </si>
  <si>
    <t>Account Name (Chinese)</t>
  </si>
  <si>
    <t>Account Name (English)</t>
  </si>
  <si>
    <t>Account name (abbreviation)</t>
  </si>
  <si>
    <t>Currency</t>
  </si>
  <si>
    <t>Account opening date</t>
  </si>
  <si>
    <t>Balance Confidential Account</t>
  </si>
  <si>
    <t>account activation flag</t>
  </si>
  <si>
    <t>Co-payment settings</t>
  </si>
  <si>
    <t>last trading day</t>
  </si>
  <si>
    <t>Withdrawals password</t>
  </si>
  <si>
    <t>Foreign securities delivery/re-entrustment securities account number</t>
  </si>
  <si>
    <t>Reimbursement Account/Account Receivable Account Mark</t>
  </si>
  <si>
    <t>Special account for issuing dividends on behalf of others</t>
  </si>
  <si>
    <t>Warrant Symbol</t>
  </si>
  <si>
    <t>passbook flag</t>
  </si>
  <si>
    <t>live pages</t>
  </si>
  <si>
    <t>Survival row times</t>
  </si>
  <si>
    <t>The number of condensed transactions</t>
  </si>
  <si>
    <t>access source</t>
  </si>
  <si>
    <t>document branch</t>
  </si>
  <si>
    <t>Remittance advising bank</t>
  </si>
  <si>
    <t>Business personnel number</t>
  </si>
  <si>
    <t>Taiwan Dollar Account AIO Notation</t>
  </si>
  <si>
    <t>Total denomination of comprehensive deposit slip</t>
  </si>
  <si>
    <t>Comprehensive deposit debit number</t>
  </si>
  <si>
    <t>transfer token</t>
  </si>
  <si>
    <t>About transfer subjects</t>
  </si>
  <si>
    <t>Transfer interest rate distinction</t>
  </si>
  <si>
    <t>Agreed transfer period</t>
  </si>
  <si>
    <t>Survival reserve (total deposit)</t>
  </si>
  <si>
    <t>Amount of deposit slip</t>
  </si>
  <si>
    <t>Co-authors/Trust Settlors</t>
  </si>
  <si>
    <t>Joint/Fiduciary Settlor Relationship</t>
  </si>
  <si>
    <t>MMA account of securities account</t>
  </si>
  <si>
    <t>Securities firm code</t>
  </si>
  <si>
    <t>Securities account of MMA account</t>
  </si>
  <si>
    <t>Authorized account</t>
  </si>
  <si>
    <t>date of rejection</t>
  </si>
  <si>
    <t>Biaohui Wealth Management Network Mark</t>
  </si>
  <si>
    <t>Month of deposit of public education households (1)</t>
  </si>
  <si>
    <t>performance line</t>
  </si>
  <si>
    <t>Overdraft limit</t>
  </si>
  <si>
    <t>Quota ID</t>
  </si>
  <si>
    <t>account balance</t>
  </si>
  <si>
    <t>Withholding / Loading Amount</t>
  </si>
  <si>
    <t>maximum amount available</t>
  </si>
  <si>
    <t>Multicurrency Account Notation</t>
  </si>
  <si>
    <t>clientid</t>
  </si>
  <si>
    <t>Identity Card Number/Uniform Number</t>
  </si>
  <si>
    <t>Type of stop payment</t>
  </si>
  <si>
    <t>accident mark</t>
  </si>
  <si>
    <t>Post-judgment deposit mark</t>
  </si>
  <si>
    <t>condensed transaction tokens</t>
  </si>
  <si>
    <t>Re-entrusted securities account payment account</t>
  </si>
  <si>
    <t>Passbook number</t>
  </si>
  <si>
    <t>Apply for a promissory note</t>
  </si>
  <si>
    <t>Account activation date</t>
  </si>
  <si>
    <t>Settlement Provision/Rejection to Settlement Date</t>
  </si>
  <si>
    <t>Tiered Deposits and Project Types</t>
  </si>
  <si>
    <t>Correspondence</t>
  </si>
  <si>
    <t>Account opening reason</t>
  </si>
  <si>
    <t>Securities firm company name</t>
  </si>
  <si>
    <t>Yongfeng salary account number</t>
  </si>
  <si>
    <t>Agent account opening</t>
  </si>
  <si>
    <t>Passbook version</t>
  </si>
  <si>
    <t>Fixed deposit page</t>
  </si>
  <si>
    <t>Fixed deposit</t>
  </si>
  <si>
    <t>Securities Cancellation Date</t>
  </si>
  <si>
    <t>Re-entrusted account cancellation day</t>
  </si>
  <si>
    <t>digital sign</t>
  </si>
  <si>
    <t>Project Settings</t>
  </si>
  <si>
    <t>Project due date</t>
  </si>
  <si>
    <t>Tiered Deposit and Project Type Launch Date</t>
  </si>
  <si>
    <t>Credit use project</t>
  </si>
  <si>
    <t>The upper limit of the account amount for the credit purpose</t>
  </si>
  <si>
    <t>A member of the insurer</t>
  </si>
  <si>
    <t>2nd member of the insurer</t>
  </si>
  <si>
    <t>E.CUST.NAME.1</t>
    <phoneticPr fontId="3" type="noConversion"/>
  </si>
  <si>
    <t>E.AC.CR.INT</t>
    <phoneticPr fontId="3" type="noConversion"/>
  </si>
  <si>
    <t>customer name 1</t>
    <phoneticPr fontId="3" type="noConversion"/>
  </si>
  <si>
    <t>customer name 2</t>
    <phoneticPr fontId="3" type="noConversion"/>
  </si>
  <si>
    <t>E.MMA.FLG</t>
    <phoneticPr fontId="3" type="noConversion"/>
  </si>
  <si>
    <t>MMA保留餘額</t>
    <phoneticPr fontId="3" type="noConversion"/>
  </si>
  <si>
    <t>MMA status</t>
    <phoneticPr fontId="3" type="noConversion"/>
  </si>
  <si>
    <t>MMA flag</t>
    <phoneticPr fontId="3" type="noConversion"/>
  </si>
  <si>
    <t>MMA revserve balances</t>
    <phoneticPr fontId="3" type="noConversion"/>
  </si>
  <si>
    <t>貸方利息</t>
    <phoneticPr fontId="3" type="noConversion"/>
  </si>
  <si>
    <t>account credit interest</t>
    <phoneticPr fontId="3" type="noConversion"/>
  </si>
  <si>
    <t>inactive flag</t>
    <phoneticPr fontId="3" type="noConversion"/>
  </si>
  <si>
    <t>inactive date</t>
    <phoneticPr fontId="3" type="noConversion"/>
  </si>
  <si>
    <t>AIO TD APP</t>
    <phoneticPr fontId="3" type="noConversion"/>
  </si>
  <si>
    <t>私房錢註記</t>
    <phoneticPr fontId="3" type="noConversion"/>
  </si>
  <si>
    <t>Category description</t>
    <phoneticPr fontId="3" type="noConversion"/>
  </si>
  <si>
    <t>銷戶日期</t>
    <phoneticPr fontId="3" type="noConversion"/>
  </si>
  <si>
    <t>Account closure date</t>
    <phoneticPr fontId="3" type="noConversion"/>
  </si>
  <si>
    <t>TD pledge percentage</t>
    <phoneticPr fontId="3" type="noConversion"/>
  </si>
  <si>
    <t>Name of Joint/Trust Settlor</t>
    <phoneticPr fontId="3" type="noConversion"/>
  </si>
  <si>
    <t>Joint customer id</t>
    <phoneticPr fontId="3" type="noConversion"/>
  </si>
  <si>
    <t>久未往來戶記號</t>
    <phoneticPr fontId="3" type="noConversion"/>
  </si>
  <si>
    <t>久往戶日期</t>
    <phoneticPr fontId="3" type="noConversion"/>
  </si>
  <si>
    <t>同意證券平台查詢記號</t>
    <phoneticPr fontId="3" type="noConversion"/>
  </si>
  <si>
    <t>Agree to the securities platform query mark</t>
    <phoneticPr fontId="3" type="noConversion"/>
  </si>
  <si>
    <t>E.INT.CL.TYPE</t>
    <phoneticPr fontId="3" type="noConversion"/>
  </si>
  <si>
    <t>E.PB.FG</t>
    <phoneticPr fontId="3" type="noConversion"/>
  </si>
  <si>
    <t>EnqEPbFg</t>
    <phoneticPr fontId="3" type="noConversion"/>
  </si>
  <si>
    <t>私銀帳戶記號</t>
    <phoneticPr fontId="3" type="noConversion"/>
  </si>
  <si>
    <t>PB account flag</t>
    <phoneticPr fontId="3" type="noConversion"/>
  </si>
  <si>
    <t>朱雅婷</t>
    <phoneticPr fontId="3" type="noConversion"/>
  </si>
  <si>
    <t>需求單202404290030 add field no.98</t>
    <phoneticPr fontId="3" type="noConversion"/>
  </si>
  <si>
    <t>2026/02/13</t>
    <phoneticPr fontId="3" type="noConversion"/>
  </si>
  <si>
    <t>江芷螢</t>
    <phoneticPr fontId="3" type="noConversion"/>
  </si>
  <si>
    <t>E.PFLO.ID</t>
    <phoneticPr fontId="3" type="noConversion"/>
  </si>
  <si>
    <t>EnqEPfloId</t>
    <phoneticPr fontId="3" type="noConversion"/>
  </si>
  <si>
    <t>20L</t>
    <phoneticPr fontId="3" type="noConversion"/>
  </si>
  <si>
    <t>投資組合編號</t>
    <phoneticPr fontId="3" type="noConversion"/>
  </si>
  <si>
    <t>Portfolio NO.</t>
  </si>
  <si>
    <t>E.DIGITAL.LEVEL</t>
  </si>
  <si>
    <t>EnqEDigitalLevel</t>
    <phoneticPr fontId="3" type="noConversion"/>
  </si>
  <si>
    <t>35L</t>
    <phoneticPr fontId="3" type="noConversion"/>
  </si>
  <si>
    <t>數位帳戶等級</t>
  </si>
  <si>
    <t>Digital account level</t>
    <phoneticPr fontId="3" type="noConversion"/>
  </si>
  <si>
    <t>E.KTB.AC</t>
  </si>
  <si>
    <t>EnqEKTB.AC</t>
    <phoneticPr fontId="3" type="noConversion"/>
  </si>
  <si>
    <t>KTB帳號</t>
  </si>
  <si>
    <t>KTB ACCOUNT NO</t>
    <phoneticPr fontId="3" type="noConversion"/>
  </si>
  <si>
    <t>API KEY (代號)</t>
    <phoneticPr fontId="3" type="noConversion"/>
  </si>
  <si>
    <t>查詢名稱</t>
    <phoneticPr fontId="3" type="noConversion"/>
  </si>
  <si>
    <t>page_size: 每頁筆數
page_start: 從第幾頁開始
companyId: 分行別
credentials: 帳號/密碼</t>
    <phoneticPr fontId="3" type="noConversion"/>
  </si>
  <si>
    <t>Mandatory(必填)</t>
    <phoneticPr fontId="3" type="noConversion"/>
  </si>
  <si>
    <t>欄位名稱</t>
    <phoneticPr fontId="3" type="noConversion"/>
  </si>
  <si>
    <t>對應API Vocabulary</t>
  </si>
  <si>
    <t>分組 Group name</t>
    <phoneticPr fontId="3" type="noConversion"/>
  </si>
  <si>
    <t>Single(空白)，Multi(XX&lt;,XX-,XX&gt;)</t>
    <phoneticPr fontId="3" type="noConversion"/>
  </si>
  <si>
    <t>欄位長度+(靠左L,靠右R)</t>
    <phoneticPr fontId="3" type="noConversion"/>
  </si>
  <si>
    <t>定存質借成數</t>
    <phoneticPr fontId="3" type="noConversion"/>
  </si>
  <si>
    <t>AIO 定存產品</t>
    <phoneticPr fontId="3" type="noConversion"/>
  </si>
  <si>
    <t>聯名戶客戶ID</t>
    <phoneticPr fontId="3" type="noConversion"/>
  </si>
  <si>
    <t>MMA 記號</t>
    <phoneticPr fontId="3" type="noConversion"/>
  </si>
  <si>
    <t>MMA狀態</t>
    <phoneticPr fontId="3" type="noConversion"/>
  </si>
  <si>
    <t>客戶id</t>
    <phoneticPr fontId="3" type="noConversion"/>
  </si>
  <si>
    <t>客戶名稱1</t>
    <phoneticPr fontId="3" type="noConversion"/>
  </si>
  <si>
    <t>客戶名稱2</t>
    <phoneticPr fontId="3" type="noConversion"/>
  </si>
  <si>
    <t>配合需求新增欄位T.PFLO.ID</t>
    <phoneticPr fontId="3" type="noConversion"/>
  </si>
  <si>
    <t>配合需求202510010153新增欄位T.DIGITAL.LEVEL、T.KTB.AC</t>
    <phoneticPr fontId="3" type="noConversion"/>
  </si>
  <si>
    <t>EnqAcctId: 00100800000037
EnqAcctCurr: USD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</si>
</sst>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sz val="10"/>
      <color rgb="FF0000D4"/>
      <name val="細明體"/>
      <family val="2"/>
      <charset val="136"/>
    </font>
    <font>
      <sz val="11"/>
      <color theme="1"/>
      <name val="微軟正黑體"/>
      <family val="2"/>
      <charset val="136"/>
    </font>
    <font>
      <sz val="10"/>
      <color rgb="FFFF0000"/>
      <name val="Arial"/>
      <family val="2"/>
    </font>
    <font>
      <sz val="10"/>
      <color rgb="FFFF0000"/>
      <name val="微軟正黑體"/>
      <family val="2"/>
      <charset val="136"/>
    </font>
    <font>
      <sz val="10"/>
      <color rgb="FFFF0000"/>
      <name val="細明體"/>
      <family val="2"/>
      <charset val="136"/>
    </font>
    <font>
      <sz val="11"/>
      <color rgb="FFFF0000"/>
      <name val="標楷體"/>
      <family val="4"/>
      <charset val="136"/>
    </font>
    <font>
      <sz val="1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1"/>
      <color theme="1"/>
      <name val="標楷體"/>
      <family val="4"/>
      <charset val="136"/>
    </font>
    <font>
      <b/>
      <sz val="11"/>
      <name val="標楷體"/>
      <family val="4"/>
      <charset val="136"/>
    </font>
    <font>
      <b/>
      <sz val="11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0"/>
      <color rgb="FF000000"/>
      <name val="標楷體"/>
      <family val="4"/>
      <charset val="136"/>
    </font>
    <font>
      <sz val="10"/>
      <name val="標楷體"/>
      <family val="4"/>
      <charset val="136"/>
    </font>
    <font>
      <sz val="11"/>
      <color rgb="FF242424"/>
      <name val="標楷體"/>
      <family val="4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/>
    </xf>
    <xf numFmtId="0" fontId="11" fillId="5" borderId="8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2" fillId="0" borderId="6" xfId="5" applyFont="1" applyBorder="1" applyAlignment="1">
      <alignment horizontal="left" vertical="top" wrapText="1"/>
    </xf>
    <xf numFmtId="0" fontId="10" fillId="0" borderId="6" xfId="0" applyFont="1" applyBorder="1" applyAlignment="1">
      <alignment vertical="top" wrapText="1"/>
    </xf>
    <xf numFmtId="0" fontId="13" fillId="0" borderId="0" xfId="5" applyFont="1"/>
    <xf numFmtId="0" fontId="14" fillId="0" borderId="5" xfId="0" applyFont="1" applyBorder="1" applyAlignment="1">
      <alignment horizontal="center" vertical="center" wrapText="1"/>
    </xf>
    <xf numFmtId="49" fontId="16" fillId="0" borderId="5" xfId="0" quotePrefix="1" applyNumberFormat="1" applyFont="1" applyBorder="1" applyAlignment="1">
      <alignment horizontal="center" vertical="center" wrapText="1"/>
    </xf>
    <xf numFmtId="49" fontId="17" fillId="0" borderId="5" xfId="0" applyNumberFormat="1" applyFont="1" applyBorder="1" applyAlignment="1">
      <alignment horizontal="left" vertical="center" wrapText="1"/>
    </xf>
    <xf numFmtId="49" fontId="18" fillId="0" borderId="5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19" fillId="0" borderId="0" xfId="0" applyFont="1"/>
    <xf numFmtId="0" fontId="20" fillId="0" borderId="0" xfId="0" applyFont="1"/>
    <xf numFmtId="0" fontId="21" fillId="0" borderId="0" xfId="0" applyFont="1"/>
    <xf numFmtId="49" fontId="19" fillId="0" borderId="0" xfId="0" applyNumberFormat="1" applyFont="1" applyAlignment="1">
      <alignment vertical="center"/>
    </xf>
    <xf numFmtId="0" fontId="22" fillId="0" borderId="0" xfId="0" applyFont="1" applyAlignment="1">
      <alignment horizontal="left"/>
    </xf>
    <xf numFmtId="0" fontId="23" fillId="6" borderId="6" xfId="1" applyFont="1" applyFill="1" applyBorder="1" applyAlignment="1">
      <alignment vertical="center" wrapText="1"/>
    </xf>
    <xf numFmtId="0" fontId="22" fillId="0" borderId="6" xfId="0" applyFont="1" applyBorder="1"/>
    <xf numFmtId="0" fontId="22" fillId="0" borderId="0" xfId="0" applyFont="1"/>
    <xf numFmtId="0" fontId="22" fillId="0" borderId="6" xfId="0" applyFont="1" applyBorder="1" applyAlignment="1">
      <alignment wrapText="1"/>
    </xf>
    <xf numFmtId="0" fontId="23" fillId="6" borderId="6" xfId="1" applyFont="1" applyFill="1" applyBorder="1" applyAlignment="1">
      <alignment horizontal="left" vertical="top" wrapText="1"/>
    </xf>
    <xf numFmtId="0" fontId="24" fillId="6" borderId="6" xfId="0" applyFont="1" applyFill="1" applyBorder="1"/>
    <xf numFmtId="0" fontId="25" fillId="0" borderId="6" xfId="0" applyFont="1" applyBorder="1" applyAlignment="1">
      <alignment vertical="center"/>
    </xf>
    <xf numFmtId="0" fontId="20" fillId="0" borderId="6" xfId="1" applyFont="1" applyBorder="1" applyAlignment="1">
      <alignment horizontal="left" vertical="top" wrapText="1"/>
    </xf>
    <xf numFmtId="0" fontId="20" fillId="0" borderId="0" xfId="1" applyFont="1" applyAlignment="1">
      <alignment horizontal="left" vertical="top" wrapText="1"/>
    </xf>
    <xf numFmtId="0" fontId="20" fillId="0" borderId="0" xfId="1" applyFont="1" applyAlignment="1">
      <alignment horizontal="left" vertical="top"/>
    </xf>
    <xf numFmtId="0" fontId="23" fillId="4" borderId="6" xfId="0" applyFont="1" applyFill="1" applyBorder="1" applyAlignment="1">
      <alignment horizontal="left"/>
    </xf>
    <xf numFmtId="0" fontId="23" fillId="4" borderId="6" xfId="4" applyFont="1" applyFill="1" applyBorder="1" applyAlignment="1">
      <alignment horizontal="left"/>
    </xf>
    <xf numFmtId="0" fontId="22" fillId="0" borderId="0" xfId="0" applyFont="1" applyAlignment="1">
      <alignment horizontal="left" vertical="top"/>
    </xf>
    <xf numFmtId="0" fontId="20" fillId="4" borderId="6" xfId="0" applyFont="1" applyFill="1" applyBorder="1" applyAlignment="1">
      <alignment horizontal="left"/>
    </xf>
    <xf numFmtId="0" fontId="25" fillId="0" borderId="0" xfId="0" applyFont="1" applyAlignment="1">
      <alignment vertical="center"/>
    </xf>
    <xf numFmtId="0" fontId="26" fillId="0" borderId="0" xfId="0" applyFont="1"/>
    <xf numFmtId="0" fontId="22" fillId="0" borderId="0" xfId="0" applyFont="1" applyAlignment="1">
      <alignment horizontal="right"/>
    </xf>
    <xf numFmtId="0" fontId="27" fillId="0" borderId="0" xfId="4" applyFont="1" applyAlignment="1">
      <alignment vertical="center" wrapText="1"/>
    </xf>
    <xf numFmtId="0" fontId="28" fillId="0" borderId="0" xfId="0" applyFont="1"/>
    <xf numFmtId="0" fontId="19" fillId="0" borderId="0" xfId="0" applyFont="1" applyAlignment="1">
      <alignment horizontal="right"/>
    </xf>
    <xf numFmtId="0" fontId="18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topLeftCell="A2" workbookViewId="0">
      <selection activeCell="C11" sqref="C11"/>
    </sheetView>
  </sheetViews>
  <sheetFormatPr defaultColWidth="9.09765625" defaultRowHeight="14.5" x14ac:dyDescent="0.3"/>
  <cols>
    <col min="1" max="2" width="13" style="1" customWidth="1"/>
    <col min="3" max="3" width="85.09765625" style="1" customWidth="1"/>
    <col min="4" max="5" width="13" style="1" customWidth="1"/>
    <col min="6" max="16384" width="9.09765625" style="1"/>
  </cols>
  <sheetData>
    <row r="1" spans="1:5" ht="38.25" customHeight="1" x14ac:dyDescent="0.3">
      <c r="A1" s="53" t="s">
        <v>20</v>
      </c>
      <c r="B1" s="54"/>
      <c r="C1" s="54"/>
      <c r="D1" s="54"/>
      <c r="E1" s="54"/>
    </row>
    <row r="2" spans="1:5" ht="20.149999999999999" customHeight="1" thickBot="1" x14ac:dyDescent="0.35">
      <c r="A2" s="50" t="s">
        <v>0</v>
      </c>
      <c r="B2" s="51"/>
      <c r="C2" s="51"/>
      <c r="D2" s="51"/>
      <c r="E2" s="52"/>
    </row>
    <row r="3" spans="1:5" ht="15" thickBot="1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15" thickBot="1" x14ac:dyDescent="0.35">
      <c r="A4" s="3" t="s">
        <v>6</v>
      </c>
      <c r="B4" s="6">
        <v>44812</v>
      </c>
      <c r="C4" s="5" t="s">
        <v>7</v>
      </c>
      <c r="D4" s="19" t="s">
        <v>35</v>
      </c>
      <c r="E4" s="4" t="s">
        <v>8</v>
      </c>
    </row>
    <row r="5" spans="1:5" ht="15" thickBot="1" x14ac:dyDescent="0.35">
      <c r="A5" s="3"/>
      <c r="B5" s="6">
        <v>45532</v>
      </c>
      <c r="C5" s="5" t="s">
        <v>434</v>
      </c>
      <c r="D5" s="19" t="s">
        <v>433</v>
      </c>
      <c r="E5" s="4"/>
    </row>
    <row r="6" spans="1:5" ht="15" thickBot="1" x14ac:dyDescent="0.35">
      <c r="A6" s="3"/>
      <c r="B6" s="20" t="s">
        <v>435</v>
      </c>
      <c r="C6" s="21" t="s">
        <v>468</v>
      </c>
      <c r="D6" s="49" t="s">
        <v>433</v>
      </c>
      <c r="E6" s="4"/>
    </row>
    <row r="7" spans="1:5" ht="15" thickBot="1" x14ac:dyDescent="0.35">
      <c r="A7" s="3"/>
      <c r="B7" s="20" t="s">
        <v>435</v>
      </c>
      <c r="C7" s="21" t="s">
        <v>469</v>
      </c>
      <c r="D7" s="22" t="s">
        <v>436</v>
      </c>
      <c r="E7" s="4"/>
    </row>
    <row r="8" spans="1:5" ht="15" thickBot="1" x14ac:dyDescent="0.35">
      <c r="A8" s="4"/>
      <c r="B8" s="7"/>
      <c r="C8" s="8"/>
      <c r="D8" s="4"/>
      <c r="E8" s="4"/>
    </row>
    <row r="9" spans="1:5" ht="15" thickBot="1" x14ac:dyDescent="0.35">
      <c r="A9" s="4"/>
      <c r="B9" s="7"/>
      <c r="C9" s="8"/>
      <c r="D9" s="4"/>
      <c r="E9" s="4"/>
    </row>
    <row r="10" spans="1:5" ht="15" thickBot="1" x14ac:dyDescent="0.35">
      <c r="A10" s="4"/>
      <c r="B10" s="7"/>
      <c r="C10" s="8"/>
      <c r="D10" s="4"/>
      <c r="E10" s="4"/>
    </row>
    <row r="11" spans="1:5" ht="15" thickBot="1" x14ac:dyDescent="0.35">
      <c r="A11" s="4" t="s">
        <v>8</v>
      </c>
      <c r="B11" s="4" t="s">
        <v>8</v>
      </c>
      <c r="C11" s="4" t="s">
        <v>8</v>
      </c>
      <c r="D11" s="4" t="s">
        <v>8</v>
      </c>
      <c r="E11" s="4" t="s">
        <v>8</v>
      </c>
    </row>
    <row r="12" spans="1:5" ht="15" thickBot="1" x14ac:dyDescent="0.35">
      <c r="A12" s="4" t="s">
        <v>8</v>
      </c>
      <c r="B12" s="4" t="s">
        <v>8</v>
      </c>
      <c r="C12" s="4" t="s">
        <v>8</v>
      </c>
      <c r="D12" s="4" t="s">
        <v>8</v>
      </c>
      <c r="E12" s="4" t="s">
        <v>8</v>
      </c>
    </row>
    <row r="13" spans="1:5" ht="15" thickBot="1" x14ac:dyDescent="0.35">
      <c r="A13" s="4" t="s">
        <v>8</v>
      </c>
      <c r="B13" s="4" t="s">
        <v>8</v>
      </c>
      <c r="C13" s="4" t="s">
        <v>8</v>
      </c>
      <c r="D13" s="4" t="s">
        <v>8</v>
      </c>
      <c r="E13" s="4" t="s">
        <v>8</v>
      </c>
    </row>
    <row r="14" spans="1:5" ht="15" thickBot="1" x14ac:dyDescent="0.35">
      <c r="A14" s="4" t="s">
        <v>8</v>
      </c>
      <c r="B14" s="4" t="s">
        <v>8</v>
      </c>
      <c r="C14" s="4" t="s">
        <v>8</v>
      </c>
      <c r="D14" s="4" t="s">
        <v>8</v>
      </c>
      <c r="E14" s="4" t="s">
        <v>8</v>
      </c>
    </row>
    <row r="15" spans="1:5" ht="15" thickBot="1" x14ac:dyDescent="0.35">
      <c r="A15" s="4" t="s">
        <v>8</v>
      </c>
      <c r="B15" s="4" t="s">
        <v>8</v>
      </c>
      <c r="C15" s="4" t="s">
        <v>8</v>
      </c>
      <c r="D15" s="4" t="s">
        <v>8</v>
      </c>
      <c r="E15" s="4" t="s">
        <v>8</v>
      </c>
    </row>
    <row r="16" spans="1:5" ht="15" thickBot="1" x14ac:dyDescent="0.35">
      <c r="A16" s="4" t="s">
        <v>8</v>
      </c>
      <c r="B16" s="4" t="s">
        <v>8</v>
      </c>
      <c r="C16" s="4" t="s">
        <v>8</v>
      </c>
      <c r="D16" s="4" t="s">
        <v>8</v>
      </c>
      <c r="E16" s="4" t="s">
        <v>8</v>
      </c>
    </row>
    <row r="17" spans="1:5" ht="15" thickBot="1" x14ac:dyDescent="0.35">
      <c r="A17" s="4" t="s">
        <v>8</v>
      </c>
      <c r="B17" s="4" t="s">
        <v>8</v>
      </c>
      <c r="C17" s="4" t="s">
        <v>8</v>
      </c>
      <c r="D17" s="4" t="s">
        <v>8</v>
      </c>
      <c r="E17" s="4" t="s">
        <v>8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121"/>
  <sheetViews>
    <sheetView tabSelected="1" zoomScale="90" zoomScaleNormal="90" workbookViewId="0">
      <selection activeCell="C4" sqref="C4"/>
    </sheetView>
  </sheetViews>
  <sheetFormatPr defaultColWidth="8.8984375" defaultRowHeight="14.5" x14ac:dyDescent="0.3"/>
  <cols>
    <col min="1" max="1" width="4.8984375" style="28" bestFit="1" customWidth="1"/>
    <col min="2" max="2" width="34.3984375" style="28" bestFit="1" customWidth="1"/>
    <col min="3" max="3" width="31.59765625" style="31" customWidth="1"/>
    <col min="4" max="4" width="18.59765625" style="31" customWidth="1"/>
    <col min="5" max="5" width="34.09765625" style="31" customWidth="1"/>
    <col min="6" max="6" width="26.296875" style="31" customWidth="1"/>
    <col min="7" max="7" width="25.59765625" style="31" customWidth="1"/>
    <col min="8" max="8" width="21.69921875" style="31" customWidth="1"/>
    <col min="9" max="16384" width="8.8984375" style="31"/>
  </cols>
  <sheetData>
    <row r="1" spans="2:5" x14ac:dyDescent="0.3">
      <c r="B1" s="29" t="s">
        <v>451</v>
      </c>
      <c r="C1" s="30" t="s">
        <v>38</v>
      </c>
    </row>
    <row r="2" spans="2:5" x14ac:dyDescent="0.3">
      <c r="B2" s="29" t="s">
        <v>452</v>
      </c>
      <c r="C2" s="32" t="s">
        <v>322</v>
      </c>
    </row>
    <row r="3" spans="2:5" x14ac:dyDescent="0.3">
      <c r="B3" s="29" t="s">
        <v>9</v>
      </c>
      <c r="C3" s="32" t="str">
        <f>+"/api/v1.0.0/party/"&amp;C1</f>
        <v>/api/v1.0.0/party/EC0002</v>
      </c>
    </row>
    <row r="4" spans="2:5" ht="58" x14ac:dyDescent="0.3">
      <c r="B4" s="29" t="s">
        <v>23</v>
      </c>
      <c r="C4" s="32" t="s">
        <v>453</v>
      </c>
    </row>
    <row r="5" spans="2:5" x14ac:dyDescent="0.3">
      <c r="B5" s="29" t="s">
        <v>27</v>
      </c>
      <c r="C5" s="30" t="s">
        <v>10</v>
      </c>
    </row>
    <row r="6" spans="2:5" x14ac:dyDescent="0.3">
      <c r="B6" s="29" t="s">
        <v>22</v>
      </c>
      <c r="C6" s="30" t="s">
        <v>11</v>
      </c>
    </row>
    <row r="7" spans="2:5" x14ac:dyDescent="0.3">
      <c r="B7" s="29" t="s">
        <v>32</v>
      </c>
      <c r="C7" s="30" t="s">
        <v>239</v>
      </c>
    </row>
    <row r="8" spans="2:5" x14ac:dyDescent="0.3">
      <c r="B8" s="29" t="s">
        <v>24</v>
      </c>
      <c r="C8" s="30" t="str">
        <f>+"ENQ.API."&amp;C1&amp;".1.0.0"</f>
        <v>ENQ.API.EC0002.1.0.0</v>
      </c>
    </row>
    <row r="9" spans="2:5" x14ac:dyDescent="0.3">
      <c r="B9" s="31"/>
    </row>
    <row r="10" spans="2:5" x14ac:dyDescent="0.3">
      <c r="B10" s="31"/>
    </row>
    <row r="11" spans="2:5" x14ac:dyDescent="0.3">
      <c r="B11" s="29" t="s">
        <v>12</v>
      </c>
      <c r="C11" s="33" t="s">
        <v>21</v>
      </c>
      <c r="D11" s="29" t="s">
        <v>13</v>
      </c>
      <c r="E11" s="34" t="s">
        <v>454</v>
      </c>
    </row>
    <row r="12" spans="2:5" x14ac:dyDescent="0.3">
      <c r="B12" s="35" t="s">
        <v>42</v>
      </c>
      <c r="C12" s="35" t="s">
        <v>39</v>
      </c>
      <c r="D12" s="30" t="s">
        <v>41</v>
      </c>
      <c r="E12" s="30"/>
    </row>
    <row r="13" spans="2:5" x14ac:dyDescent="0.3">
      <c r="B13" s="35" t="s">
        <v>43</v>
      </c>
      <c r="C13" s="35" t="s">
        <v>40</v>
      </c>
      <c r="D13" s="30" t="s">
        <v>41</v>
      </c>
      <c r="E13" s="30"/>
    </row>
    <row r="14" spans="2:5" x14ac:dyDescent="0.3">
      <c r="B14" s="35"/>
      <c r="C14" s="36"/>
      <c r="D14" s="30"/>
      <c r="E14" s="30"/>
    </row>
    <row r="15" spans="2:5" x14ac:dyDescent="0.3">
      <c r="B15" s="35"/>
      <c r="C15" s="36"/>
      <c r="D15" s="30"/>
      <c r="E15" s="30"/>
    </row>
    <row r="16" spans="2:5" x14ac:dyDescent="0.3">
      <c r="B16" s="31"/>
      <c r="D16" s="37"/>
    </row>
    <row r="17" spans="1:8" x14ac:dyDescent="0.3">
      <c r="A17" s="38"/>
      <c r="B17" s="37"/>
      <c r="C17" s="38"/>
      <c r="D17" s="37"/>
      <c r="E17" s="37"/>
      <c r="F17" s="37"/>
    </row>
    <row r="18" spans="1:8" s="41" customFormat="1" x14ac:dyDescent="0.3">
      <c r="A18" s="39" t="s">
        <v>14</v>
      </c>
      <c r="B18" s="39" t="s">
        <v>15</v>
      </c>
      <c r="C18" s="39" t="s">
        <v>16</v>
      </c>
      <c r="D18" s="40" t="s">
        <v>25</v>
      </c>
      <c r="E18" s="39" t="s">
        <v>17</v>
      </c>
      <c r="F18" s="39" t="s">
        <v>18</v>
      </c>
      <c r="G18" s="39" t="s">
        <v>26</v>
      </c>
      <c r="H18" s="39" t="s">
        <v>26</v>
      </c>
    </row>
    <row r="19" spans="1:8" s="41" customFormat="1" x14ac:dyDescent="0.3">
      <c r="A19" s="39"/>
      <c r="B19" s="39" t="s">
        <v>455</v>
      </c>
      <c r="C19" s="39" t="s">
        <v>456</v>
      </c>
      <c r="D19" s="39" t="s">
        <v>457</v>
      </c>
      <c r="E19" s="39" t="s">
        <v>458</v>
      </c>
      <c r="F19" s="39" t="s">
        <v>459</v>
      </c>
      <c r="G19" s="42" t="s">
        <v>36</v>
      </c>
      <c r="H19" s="42" t="s">
        <v>37</v>
      </c>
    </row>
    <row r="20" spans="1:8" x14ac:dyDescent="0.3">
      <c r="A20" s="31">
        <v>1</v>
      </c>
      <c r="B20" s="43" t="s">
        <v>44</v>
      </c>
      <c r="C20" s="43" t="s">
        <v>136</v>
      </c>
      <c r="F20" s="31">
        <v>16</v>
      </c>
      <c r="G20" s="28" t="s">
        <v>320</v>
      </c>
      <c r="H20" s="44" t="s">
        <v>324</v>
      </c>
    </row>
    <row r="21" spans="1:8" x14ac:dyDescent="0.3">
      <c r="A21" s="31">
        <v>2</v>
      </c>
      <c r="B21" s="43" t="s">
        <v>45</v>
      </c>
      <c r="C21" s="43" t="s">
        <v>137</v>
      </c>
      <c r="F21" s="45">
        <v>19</v>
      </c>
      <c r="G21" s="28" t="s">
        <v>240</v>
      </c>
      <c r="H21" s="44" t="s">
        <v>325</v>
      </c>
    </row>
    <row r="22" spans="1:8" x14ac:dyDescent="0.3">
      <c r="A22" s="31">
        <v>3</v>
      </c>
      <c r="B22" s="43" t="s">
        <v>46</v>
      </c>
      <c r="C22" s="43" t="s">
        <v>138</v>
      </c>
      <c r="F22" s="45">
        <v>35</v>
      </c>
      <c r="G22" s="28" t="s">
        <v>241</v>
      </c>
      <c r="H22" s="28" t="s">
        <v>326</v>
      </c>
    </row>
    <row r="23" spans="1:8" x14ac:dyDescent="0.3">
      <c r="A23" s="31">
        <v>4</v>
      </c>
      <c r="B23" s="43" t="s">
        <v>47</v>
      </c>
      <c r="C23" s="43" t="s">
        <v>139</v>
      </c>
      <c r="F23" s="31">
        <v>35</v>
      </c>
      <c r="G23" s="28" t="s">
        <v>242</v>
      </c>
      <c r="H23" s="44" t="s">
        <v>327</v>
      </c>
    </row>
    <row r="24" spans="1:8" x14ac:dyDescent="0.3">
      <c r="A24" s="31">
        <v>5</v>
      </c>
      <c r="B24" s="43" t="s">
        <v>48</v>
      </c>
      <c r="C24" s="43" t="s">
        <v>140</v>
      </c>
      <c r="F24" s="31">
        <v>35</v>
      </c>
      <c r="G24" s="28" t="s">
        <v>243</v>
      </c>
      <c r="H24" s="44" t="s">
        <v>328</v>
      </c>
    </row>
    <row r="25" spans="1:8" x14ac:dyDescent="0.3">
      <c r="A25" s="31">
        <v>6</v>
      </c>
      <c r="B25" s="43" t="s">
        <v>49</v>
      </c>
      <c r="C25" s="43" t="s">
        <v>141</v>
      </c>
      <c r="D25" s="43"/>
      <c r="E25" s="43"/>
      <c r="F25" s="43">
        <v>6</v>
      </c>
      <c r="G25" s="28" t="s">
        <v>251</v>
      </c>
      <c r="H25" s="28" t="s">
        <v>251</v>
      </c>
    </row>
    <row r="26" spans="1:8" x14ac:dyDescent="0.3">
      <c r="A26" s="31">
        <v>7</v>
      </c>
      <c r="B26" s="43" t="s">
        <v>50</v>
      </c>
      <c r="C26" s="43" t="s">
        <v>142</v>
      </c>
      <c r="D26" s="43"/>
      <c r="E26" s="43"/>
      <c r="F26" s="43">
        <v>35</v>
      </c>
      <c r="G26" s="31" t="s">
        <v>252</v>
      </c>
      <c r="H26" s="28" t="s">
        <v>418</v>
      </c>
    </row>
    <row r="27" spans="1:8" x14ac:dyDescent="0.3">
      <c r="A27" s="31">
        <v>8</v>
      </c>
      <c r="B27" s="43" t="s">
        <v>51</v>
      </c>
      <c r="C27" s="43" t="s">
        <v>143</v>
      </c>
      <c r="D27" s="43"/>
      <c r="E27" s="43"/>
      <c r="F27" s="43">
        <v>3</v>
      </c>
      <c r="G27" s="46" t="s">
        <v>244</v>
      </c>
      <c r="H27" s="44" t="s">
        <v>329</v>
      </c>
    </row>
    <row r="28" spans="1:8" x14ac:dyDescent="0.3">
      <c r="A28" s="31">
        <v>9</v>
      </c>
      <c r="B28" s="43" t="s">
        <v>52</v>
      </c>
      <c r="C28" s="43" t="s">
        <v>144</v>
      </c>
      <c r="D28" s="43"/>
      <c r="E28" s="43"/>
      <c r="F28" s="43">
        <v>11</v>
      </c>
      <c r="G28" s="46" t="s">
        <v>245</v>
      </c>
      <c r="H28" s="44" t="s">
        <v>330</v>
      </c>
    </row>
    <row r="29" spans="1:8" x14ac:dyDescent="0.3">
      <c r="A29" s="31">
        <v>10</v>
      </c>
      <c r="B29" s="43" t="s">
        <v>53</v>
      </c>
      <c r="C29" s="43" t="s">
        <v>145</v>
      </c>
      <c r="D29" s="43"/>
      <c r="E29" s="43"/>
      <c r="F29" s="43">
        <v>11</v>
      </c>
      <c r="G29" s="46" t="s">
        <v>419</v>
      </c>
      <c r="H29" s="44" t="s">
        <v>420</v>
      </c>
    </row>
    <row r="30" spans="1:8" x14ac:dyDescent="0.3">
      <c r="A30" s="31">
        <v>11</v>
      </c>
      <c r="B30" s="43" t="s">
        <v>54</v>
      </c>
      <c r="C30" s="43" t="s">
        <v>146</v>
      </c>
      <c r="D30" s="43"/>
      <c r="E30" s="43"/>
      <c r="F30" s="43">
        <v>1</v>
      </c>
      <c r="G30" s="31" t="s">
        <v>321</v>
      </c>
      <c r="H30" s="44" t="s">
        <v>331</v>
      </c>
    </row>
    <row r="31" spans="1:8" x14ac:dyDescent="0.3">
      <c r="A31" s="31">
        <v>12</v>
      </c>
      <c r="B31" s="43" t="s">
        <v>55</v>
      </c>
      <c r="C31" s="43" t="s">
        <v>147</v>
      </c>
      <c r="D31" s="43"/>
      <c r="E31" s="43"/>
      <c r="F31" s="43">
        <v>1</v>
      </c>
      <c r="G31" s="31" t="s">
        <v>246</v>
      </c>
      <c r="H31" s="44" t="s">
        <v>332</v>
      </c>
    </row>
    <row r="32" spans="1:8" x14ac:dyDescent="0.3">
      <c r="A32" s="31">
        <v>13</v>
      </c>
      <c r="B32" s="43" t="s">
        <v>56</v>
      </c>
      <c r="C32" s="43" t="s">
        <v>148</v>
      </c>
      <c r="F32" s="43">
        <v>11</v>
      </c>
      <c r="G32" s="31" t="s">
        <v>247</v>
      </c>
      <c r="H32" s="44" t="s">
        <v>333</v>
      </c>
    </row>
    <row r="33" spans="1:8" x14ac:dyDescent="0.3">
      <c r="A33" s="31">
        <v>14</v>
      </c>
      <c r="B33" s="43" t="s">
        <v>57</v>
      </c>
      <c r="C33" s="43" t="s">
        <v>149</v>
      </c>
      <c r="F33" s="43">
        <v>12</v>
      </c>
      <c r="G33" s="31" t="s">
        <v>248</v>
      </c>
      <c r="H33" s="44" t="s">
        <v>334</v>
      </c>
    </row>
    <row r="34" spans="1:8" x14ac:dyDescent="0.3">
      <c r="A34" s="31">
        <v>15</v>
      </c>
      <c r="B34" s="43" t="s">
        <v>58</v>
      </c>
      <c r="C34" s="43" t="s">
        <v>150</v>
      </c>
      <c r="F34" s="43">
        <v>12</v>
      </c>
      <c r="G34" s="31" t="s">
        <v>249</v>
      </c>
      <c r="H34" s="31" t="s">
        <v>335</v>
      </c>
    </row>
    <row r="35" spans="1:8" x14ac:dyDescent="0.3">
      <c r="A35" s="31">
        <v>16</v>
      </c>
      <c r="B35" s="43" t="s">
        <v>59</v>
      </c>
      <c r="C35" s="43" t="s">
        <v>151</v>
      </c>
      <c r="F35" s="43">
        <v>1</v>
      </c>
      <c r="G35" s="31" t="s">
        <v>250</v>
      </c>
      <c r="H35" s="31" t="s">
        <v>336</v>
      </c>
    </row>
    <row r="36" spans="1:8" x14ac:dyDescent="0.3">
      <c r="A36" s="31">
        <v>17</v>
      </c>
      <c r="B36" s="43" t="s">
        <v>319</v>
      </c>
      <c r="C36" s="43" t="s">
        <v>152</v>
      </c>
      <c r="F36" s="43">
        <v>35</v>
      </c>
      <c r="G36" s="31" t="s">
        <v>424</v>
      </c>
      <c r="H36" s="31" t="s">
        <v>414</v>
      </c>
    </row>
    <row r="37" spans="1:8" x14ac:dyDescent="0.3">
      <c r="A37" s="31">
        <v>18</v>
      </c>
      <c r="B37" s="43" t="s">
        <v>60</v>
      </c>
      <c r="C37" s="43" t="s">
        <v>153</v>
      </c>
      <c r="F37" s="43">
        <v>11</v>
      </c>
      <c r="G37" s="31" t="s">
        <v>425</v>
      </c>
      <c r="H37" s="31" t="s">
        <v>415</v>
      </c>
    </row>
    <row r="38" spans="1:8" x14ac:dyDescent="0.3">
      <c r="A38" s="31">
        <v>19</v>
      </c>
      <c r="B38" s="43" t="s">
        <v>61</v>
      </c>
      <c r="C38" s="43" t="s">
        <v>154</v>
      </c>
      <c r="F38" s="43">
        <v>1</v>
      </c>
      <c r="G38" s="31" t="s">
        <v>267</v>
      </c>
      <c r="H38" s="31" t="s">
        <v>337</v>
      </c>
    </row>
    <row r="39" spans="1:8" x14ac:dyDescent="0.3">
      <c r="A39" s="31">
        <v>20</v>
      </c>
      <c r="B39" s="43" t="s">
        <v>62</v>
      </c>
      <c r="C39" s="43" t="s">
        <v>155</v>
      </c>
      <c r="F39" s="43">
        <v>1</v>
      </c>
      <c r="G39" s="31" t="s">
        <v>270</v>
      </c>
      <c r="H39" s="31" t="s">
        <v>338</v>
      </c>
    </row>
    <row r="40" spans="1:8" x14ac:dyDescent="0.3">
      <c r="A40" s="31">
        <v>21</v>
      </c>
      <c r="B40" s="43" t="s">
        <v>63</v>
      </c>
      <c r="C40" s="43" t="s">
        <v>156</v>
      </c>
      <c r="F40" s="43">
        <v>35</v>
      </c>
      <c r="G40" s="31" t="s">
        <v>268</v>
      </c>
      <c r="H40" s="31" t="s">
        <v>339</v>
      </c>
    </row>
    <row r="41" spans="1:8" x14ac:dyDescent="0.3">
      <c r="A41" s="31">
        <v>22</v>
      </c>
      <c r="B41" s="43" t="s">
        <v>64</v>
      </c>
      <c r="C41" s="43" t="s">
        <v>157</v>
      </c>
      <c r="F41" s="43">
        <v>3</v>
      </c>
      <c r="G41" s="31" t="s">
        <v>272</v>
      </c>
      <c r="H41" s="31" t="s">
        <v>340</v>
      </c>
    </row>
    <row r="42" spans="1:8" x14ac:dyDescent="0.3">
      <c r="A42" s="31">
        <v>23</v>
      </c>
      <c r="B42" s="43" t="s">
        <v>65</v>
      </c>
      <c r="C42" s="43" t="s">
        <v>158</v>
      </c>
      <c r="F42" s="43">
        <v>5</v>
      </c>
      <c r="G42" s="31" t="s">
        <v>273</v>
      </c>
      <c r="H42" s="31" t="s">
        <v>341</v>
      </c>
    </row>
    <row r="43" spans="1:8" x14ac:dyDescent="0.3">
      <c r="A43" s="31">
        <v>24</v>
      </c>
      <c r="B43" s="43" t="s">
        <v>66</v>
      </c>
      <c r="C43" s="43" t="s">
        <v>159</v>
      </c>
      <c r="F43" s="43">
        <v>5</v>
      </c>
      <c r="G43" s="31" t="s">
        <v>274</v>
      </c>
      <c r="H43" s="31" t="s">
        <v>342</v>
      </c>
    </row>
    <row r="44" spans="1:8" x14ac:dyDescent="0.3">
      <c r="A44" s="31">
        <v>25</v>
      </c>
      <c r="B44" s="43" t="s">
        <v>67</v>
      </c>
      <c r="C44" s="43" t="s">
        <v>160</v>
      </c>
      <c r="F44" s="43">
        <v>3</v>
      </c>
      <c r="G44" s="31" t="s">
        <v>280</v>
      </c>
      <c r="H44" s="31" t="s">
        <v>343</v>
      </c>
    </row>
    <row r="45" spans="1:8" x14ac:dyDescent="0.3">
      <c r="A45" s="31">
        <v>26</v>
      </c>
      <c r="B45" s="43" t="s">
        <v>68</v>
      </c>
      <c r="C45" s="43" t="s">
        <v>161</v>
      </c>
      <c r="F45" s="43">
        <v>35</v>
      </c>
      <c r="G45" s="31" t="s">
        <v>281</v>
      </c>
      <c r="H45" s="31" t="s">
        <v>344</v>
      </c>
    </row>
    <row r="46" spans="1:8" x14ac:dyDescent="0.3">
      <c r="A46" s="31">
        <v>27</v>
      </c>
      <c r="B46" s="43" t="s">
        <v>69</v>
      </c>
      <c r="C46" s="43" t="s">
        <v>162</v>
      </c>
      <c r="F46" s="43">
        <v>3</v>
      </c>
      <c r="G46" s="31" t="s">
        <v>282</v>
      </c>
      <c r="H46" s="31" t="s">
        <v>345</v>
      </c>
    </row>
    <row r="47" spans="1:8" x14ac:dyDescent="0.3">
      <c r="A47" s="31">
        <v>28</v>
      </c>
      <c r="B47" s="43" t="s">
        <v>70</v>
      </c>
      <c r="C47" s="43" t="s">
        <v>163</v>
      </c>
      <c r="F47" s="43">
        <v>11</v>
      </c>
      <c r="G47" s="31" t="s">
        <v>283</v>
      </c>
      <c r="H47" s="31" t="s">
        <v>346</v>
      </c>
    </row>
    <row r="48" spans="1:8" x14ac:dyDescent="0.3">
      <c r="A48" s="31">
        <v>29</v>
      </c>
      <c r="B48" s="43" t="s">
        <v>71</v>
      </c>
      <c r="C48" s="43" t="s">
        <v>164</v>
      </c>
      <c r="F48" s="43">
        <v>6</v>
      </c>
      <c r="G48" s="31" t="s">
        <v>284</v>
      </c>
      <c r="H48" s="31" t="s">
        <v>347</v>
      </c>
    </row>
    <row r="49" spans="1:9" x14ac:dyDescent="0.3">
      <c r="A49" s="31">
        <v>30</v>
      </c>
      <c r="B49" s="43" t="s">
        <v>72</v>
      </c>
      <c r="C49" s="43" t="s">
        <v>165</v>
      </c>
      <c r="F49" s="43">
        <v>1</v>
      </c>
      <c r="G49" s="31" t="s">
        <v>289</v>
      </c>
      <c r="H49" s="31" t="s">
        <v>348</v>
      </c>
    </row>
    <row r="50" spans="1:9" x14ac:dyDescent="0.3">
      <c r="A50" s="31">
        <v>31</v>
      </c>
      <c r="B50" s="43" t="s">
        <v>73</v>
      </c>
      <c r="C50" s="43" t="s">
        <v>166</v>
      </c>
      <c r="F50" s="43">
        <v>19</v>
      </c>
      <c r="G50" s="31" t="s">
        <v>292</v>
      </c>
      <c r="H50" s="31" t="s">
        <v>349</v>
      </c>
    </row>
    <row r="51" spans="1:9" x14ac:dyDescent="0.3">
      <c r="A51" s="31">
        <v>32</v>
      </c>
      <c r="B51" s="43" t="s">
        <v>74</v>
      </c>
      <c r="C51" s="43" t="s">
        <v>167</v>
      </c>
      <c r="F51" s="43">
        <v>1</v>
      </c>
      <c r="G51" s="31" t="s">
        <v>290</v>
      </c>
      <c r="H51" s="31" t="s">
        <v>350</v>
      </c>
    </row>
    <row r="52" spans="1:9" x14ac:dyDescent="0.3">
      <c r="A52" s="31">
        <v>33</v>
      </c>
      <c r="B52" s="43" t="s">
        <v>75</v>
      </c>
      <c r="C52" s="43" t="s">
        <v>168</v>
      </c>
      <c r="F52" s="43">
        <v>1</v>
      </c>
      <c r="G52" s="31" t="s">
        <v>291</v>
      </c>
      <c r="H52" s="31" t="s">
        <v>351</v>
      </c>
    </row>
    <row r="53" spans="1:9" x14ac:dyDescent="0.3">
      <c r="A53" s="31">
        <v>34</v>
      </c>
      <c r="B53" s="43" t="s">
        <v>76</v>
      </c>
      <c r="C53" s="43" t="s">
        <v>169</v>
      </c>
      <c r="F53" s="43">
        <v>6</v>
      </c>
      <c r="G53" s="31" t="s">
        <v>460</v>
      </c>
      <c r="H53" s="31" t="s">
        <v>421</v>
      </c>
    </row>
    <row r="54" spans="1:9" x14ac:dyDescent="0.3">
      <c r="A54" s="31">
        <v>35</v>
      </c>
      <c r="B54" s="43" t="s">
        <v>77</v>
      </c>
      <c r="C54" s="43" t="s">
        <v>170</v>
      </c>
      <c r="F54" s="43">
        <v>10</v>
      </c>
      <c r="G54" s="31" t="s">
        <v>461</v>
      </c>
      <c r="H54" s="31" t="s">
        <v>416</v>
      </c>
    </row>
    <row r="55" spans="1:9" x14ac:dyDescent="0.3">
      <c r="A55" s="31">
        <v>36</v>
      </c>
      <c r="B55" s="43" t="s">
        <v>78</v>
      </c>
      <c r="C55" s="43" t="s">
        <v>171</v>
      </c>
      <c r="F55" s="43">
        <v>35</v>
      </c>
      <c r="G55" s="31" t="s">
        <v>293</v>
      </c>
      <c r="H55" s="31" t="s">
        <v>352</v>
      </c>
    </row>
    <row r="56" spans="1:9" x14ac:dyDescent="0.3">
      <c r="A56" s="31">
        <v>37</v>
      </c>
      <c r="B56" s="43" t="s">
        <v>79</v>
      </c>
      <c r="C56" s="43" t="s">
        <v>172</v>
      </c>
      <c r="F56" s="43">
        <v>3</v>
      </c>
      <c r="G56" s="31" t="s">
        <v>294</v>
      </c>
      <c r="H56" s="31" t="s">
        <v>353</v>
      </c>
    </row>
    <row r="57" spans="1:9" x14ac:dyDescent="0.3">
      <c r="A57" s="31">
        <v>38</v>
      </c>
      <c r="B57" s="43" t="s">
        <v>80</v>
      </c>
      <c r="C57" s="43" t="s">
        <v>173</v>
      </c>
      <c r="F57" s="43">
        <v>3</v>
      </c>
      <c r="G57" s="31" t="s">
        <v>295</v>
      </c>
      <c r="H57" s="31" t="s">
        <v>354</v>
      </c>
    </row>
    <row r="58" spans="1:9" x14ac:dyDescent="0.3">
      <c r="A58" s="31">
        <v>39</v>
      </c>
      <c r="B58" s="43" t="s">
        <v>81</v>
      </c>
      <c r="C58" s="43" t="s">
        <v>174</v>
      </c>
      <c r="F58" s="31">
        <v>25</v>
      </c>
      <c r="G58" s="31" t="s">
        <v>296</v>
      </c>
      <c r="H58" s="31" t="s">
        <v>355</v>
      </c>
    </row>
    <row r="59" spans="1:9" x14ac:dyDescent="0.3">
      <c r="A59" s="31">
        <v>40</v>
      </c>
      <c r="B59" s="43" t="s">
        <v>82</v>
      </c>
      <c r="C59" s="43" t="s">
        <v>175</v>
      </c>
      <c r="F59" s="43">
        <v>25</v>
      </c>
      <c r="G59" s="31" t="s">
        <v>297</v>
      </c>
      <c r="H59" s="31" t="s">
        <v>356</v>
      </c>
    </row>
    <row r="60" spans="1:9" x14ac:dyDescent="0.3">
      <c r="A60" s="31">
        <v>41</v>
      </c>
      <c r="B60" s="43" t="s">
        <v>83</v>
      </c>
      <c r="C60" s="43" t="s">
        <v>176</v>
      </c>
      <c r="F60" s="43">
        <v>10</v>
      </c>
      <c r="G60" s="31" t="s">
        <v>462</v>
      </c>
      <c r="H60" s="31" t="s">
        <v>423</v>
      </c>
    </row>
    <row r="61" spans="1:9" x14ac:dyDescent="0.3">
      <c r="A61" s="31">
        <v>42</v>
      </c>
      <c r="B61" s="43" t="s">
        <v>84</v>
      </c>
      <c r="C61" s="43" t="s">
        <v>177</v>
      </c>
      <c r="F61" s="31" t="s">
        <v>234</v>
      </c>
      <c r="G61" s="31" t="s">
        <v>298</v>
      </c>
      <c r="H61" s="31" t="s">
        <v>357</v>
      </c>
      <c r="I61" s="31" t="s">
        <v>233</v>
      </c>
    </row>
    <row r="62" spans="1:9" x14ac:dyDescent="0.3">
      <c r="A62" s="31">
        <v>43</v>
      </c>
      <c r="B62" s="43" t="s">
        <v>85</v>
      </c>
      <c r="C62" s="43" t="s">
        <v>178</v>
      </c>
      <c r="F62" s="31" t="s">
        <v>234</v>
      </c>
      <c r="G62" s="31" t="s">
        <v>299</v>
      </c>
      <c r="H62" s="31" t="s">
        <v>422</v>
      </c>
      <c r="I62" s="31" t="s">
        <v>233</v>
      </c>
    </row>
    <row r="63" spans="1:9" x14ac:dyDescent="0.3">
      <c r="A63" s="31">
        <v>44</v>
      </c>
      <c r="B63" s="43" t="s">
        <v>86</v>
      </c>
      <c r="C63" s="43" t="s">
        <v>179</v>
      </c>
      <c r="F63" s="31" t="s">
        <v>235</v>
      </c>
      <c r="G63" s="31" t="s">
        <v>300</v>
      </c>
      <c r="H63" s="31" t="s">
        <v>358</v>
      </c>
      <c r="I63" s="31" t="s">
        <v>233</v>
      </c>
    </row>
    <row r="64" spans="1:9" x14ac:dyDescent="0.3">
      <c r="A64" s="31">
        <v>45</v>
      </c>
      <c r="B64" s="43" t="s">
        <v>87</v>
      </c>
      <c r="C64" s="43" t="s">
        <v>180</v>
      </c>
      <c r="F64" s="31">
        <v>19</v>
      </c>
      <c r="G64" s="31" t="s">
        <v>301</v>
      </c>
      <c r="H64" s="31" t="s">
        <v>359</v>
      </c>
    </row>
    <row r="65" spans="1:9" x14ac:dyDescent="0.3">
      <c r="A65" s="31">
        <v>46</v>
      </c>
      <c r="B65" s="43" t="s">
        <v>88</v>
      </c>
      <c r="C65" s="43" t="s">
        <v>181</v>
      </c>
      <c r="F65" s="31">
        <v>35</v>
      </c>
      <c r="G65" s="31" t="s">
        <v>303</v>
      </c>
      <c r="H65" s="31" t="s">
        <v>360</v>
      </c>
    </row>
    <row r="66" spans="1:9" x14ac:dyDescent="0.3">
      <c r="A66" s="31">
        <v>47</v>
      </c>
      <c r="B66" s="43" t="s">
        <v>89</v>
      </c>
      <c r="C66" s="43" t="s">
        <v>182</v>
      </c>
      <c r="F66" s="31">
        <v>14</v>
      </c>
      <c r="G66" s="31" t="s">
        <v>306</v>
      </c>
      <c r="H66" s="31" t="s">
        <v>361</v>
      </c>
    </row>
    <row r="67" spans="1:9" x14ac:dyDescent="0.3">
      <c r="A67" s="31">
        <v>48</v>
      </c>
      <c r="B67" s="43" t="s">
        <v>407</v>
      </c>
      <c r="C67" s="43" t="s">
        <v>183</v>
      </c>
      <c r="F67" s="31">
        <v>1</v>
      </c>
      <c r="G67" s="31" t="s">
        <v>463</v>
      </c>
      <c r="H67" s="31" t="s">
        <v>410</v>
      </c>
    </row>
    <row r="68" spans="1:9" x14ac:dyDescent="0.3">
      <c r="A68" s="31">
        <v>49</v>
      </c>
      <c r="B68" s="43" t="s">
        <v>90</v>
      </c>
      <c r="C68" s="43" t="s">
        <v>184</v>
      </c>
      <c r="F68" s="31">
        <v>19</v>
      </c>
      <c r="G68" s="31" t="s">
        <v>408</v>
      </c>
      <c r="H68" s="31" t="s">
        <v>411</v>
      </c>
    </row>
    <row r="69" spans="1:9" x14ac:dyDescent="0.3">
      <c r="A69" s="31">
        <v>50</v>
      </c>
      <c r="B69" s="43" t="s">
        <v>91</v>
      </c>
      <c r="C69" s="43" t="s">
        <v>185</v>
      </c>
      <c r="F69" s="31">
        <v>1</v>
      </c>
      <c r="G69" s="31" t="s">
        <v>464</v>
      </c>
      <c r="H69" s="31" t="s">
        <v>409</v>
      </c>
    </row>
    <row r="70" spans="1:9" x14ac:dyDescent="0.3">
      <c r="A70" s="31">
        <v>51</v>
      </c>
      <c r="B70" s="43" t="s">
        <v>92</v>
      </c>
      <c r="C70" s="43" t="s">
        <v>186</v>
      </c>
      <c r="F70" s="31">
        <v>19</v>
      </c>
      <c r="G70" s="31" t="s">
        <v>307</v>
      </c>
      <c r="H70" s="31" t="s">
        <v>362</v>
      </c>
    </row>
    <row r="71" spans="1:9" x14ac:dyDescent="0.3">
      <c r="A71" s="31">
        <v>52</v>
      </c>
      <c r="B71" s="43" t="s">
        <v>93</v>
      </c>
      <c r="C71" s="43" t="s">
        <v>187</v>
      </c>
      <c r="F71" s="31">
        <v>9</v>
      </c>
      <c r="G71" s="31" t="s">
        <v>310</v>
      </c>
      <c r="H71" s="31" t="s">
        <v>363</v>
      </c>
    </row>
    <row r="72" spans="1:9" x14ac:dyDescent="0.3">
      <c r="A72" s="31">
        <v>53</v>
      </c>
      <c r="B72" s="43" t="s">
        <v>94</v>
      </c>
      <c r="C72" s="43" t="s">
        <v>188</v>
      </c>
      <c r="F72" s="31">
        <v>3</v>
      </c>
      <c r="G72" s="31" t="s">
        <v>312</v>
      </c>
      <c r="H72" s="31" t="s">
        <v>364</v>
      </c>
    </row>
    <row r="73" spans="1:9" x14ac:dyDescent="0.3">
      <c r="A73" s="31">
        <v>54</v>
      </c>
      <c r="B73" s="43" t="s">
        <v>95</v>
      </c>
      <c r="C73" s="43" t="s">
        <v>189</v>
      </c>
      <c r="F73" s="31" t="s">
        <v>236</v>
      </c>
      <c r="G73" s="31" t="s">
        <v>314</v>
      </c>
      <c r="H73" s="31" t="s">
        <v>365</v>
      </c>
      <c r="I73" s="31" t="s">
        <v>233</v>
      </c>
    </row>
    <row r="74" spans="1:9" x14ac:dyDescent="0.3">
      <c r="A74" s="31">
        <v>55</v>
      </c>
      <c r="B74" s="43" t="s">
        <v>96</v>
      </c>
      <c r="C74" s="43" t="s">
        <v>190</v>
      </c>
      <c r="F74" s="31">
        <v>6</v>
      </c>
      <c r="G74" s="31" t="s">
        <v>285</v>
      </c>
      <c r="H74" s="31" t="s">
        <v>366</v>
      </c>
    </row>
    <row r="75" spans="1:9" x14ac:dyDescent="0.3">
      <c r="A75" s="31">
        <v>56</v>
      </c>
      <c r="B75" s="43" t="s">
        <v>97</v>
      </c>
      <c r="C75" s="43" t="s">
        <v>191</v>
      </c>
      <c r="F75" s="31">
        <v>19</v>
      </c>
      <c r="G75" s="31" t="s">
        <v>260</v>
      </c>
      <c r="H75" s="31" t="s">
        <v>367</v>
      </c>
    </row>
    <row r="76" spans="1:9" x14ac:dyDescent="0.3">
      <c r="A76" s="31">
        <v>57</v>
      </c>
      <c r="B76" s="43" t="s">
        <v>98</v>
      </c>
      <c r="C76" s="43" t="s">
        <v>192</v>
      </c>
      <c r="F76" s="31">
        <v>10</v>
      </c>
      <c r="G76" s="31" t="s">
        <v>313</v>
      </c>
      <c r="H76" s="31" t="s">
        <v>368</v>
      </c>
    </row>
    <row r="77" spans="1:9" x14ac:dyDescent="0.3">
      <c r="A77" s="31">
        <v>58</v>
      </c>
      <c r="B77" s="43" t="s">
        <v>99</v>
      </c>
      <c r="C77" s="43" t="s">
        <v>193</v>
      </c>
      <c r="F77" s="31">
        <v>19</v>
      </c>
      <c r="G77" s="31" t="s">
        <v>259</v>
      </c>
      <c r="H77" s="31" t="s">
        <v>369</v>
      </c>
    </row>
    <row r="78" spans="1:9" x14ac:dyDescent="0.3">
      <c r="A78" s="31">
        <v>59</v>
      </c>
      <c r="B78" s="43" t="s">
        <v>100</v>
      </c>
      <c r="C78" s="43" t="s">
        <v>194</v>
      </c>
      <c r="F78" s="31">
        <v>19</v>
      </c>
      <c r="G78" s="31" t="s">
        <v>262</v>
      </c>
      <c r="H78" s="31" t="s">
        <v>370</v>
      </c>
    </row>
    <row r="79" spans="1:9" x14ac:dyDescent="0.3">
      <c r="A79" s="31">
        <v>60</v>
      </c>
      <c r="B79" s="43" t="s">
        <v>101</v>
      </c>
      <c r="C79" s="43" t="s">
        <v>195</v>
      </c>
      <c r="F79" s="31">
        <v>19</v>
      </c>
      <c r="G79" s="31" t="s">
        <v>261</v>
      </c>
      <c r="H79" s="31" t="s">
        <v>371</v>
      </c>
    </row>
    <row r="80" spans="1:9" x14ac:dyDescent="0.3">
      <c r="A80" s="31">
        <v>61</v>
      </c>
      <c r="B80" s="43" t="s">
        <v>102</v>
      </c>
      <c r="C80" s="43" t="s">
        <v>196</v>
      </c>
      <c r="F80" s="31">
        <v>1</v>
      </c>
      <c r="G80" s="31" t="s">
        <v>264</v>
      </c>
      <c r="H80" s="31" t="s">
        <v>372</v>
      </c>
    </row>
    <row r="81" spans="1:8" x14ac:dyDescent="0.3">
      <c r="A81" s="31">
        <v>62</v>
      </c>
      <c r="B81" s="43" t="s">
        <v>103</v>
      </c>
      <c r="C81" s="43" t="s">
        <v>197</v>
      </c>
      <c r="F81" s="31">
        <v>10</v>
      </c>
      <c r="G81" s="31" t="s">
        <v>465</v>
      </c>
      <c r="H81" s="31" t="s">
        <v>373</v>
      </c>
    </row>
    <row r="82" spans="1:8" x14ac:dyDescent="0.3">
      <c r="A82" s="31">
        <v>63</v>
      </c>
      <c r="B82" s="43" t="s">
        <v>104</v>
      </c>
      <c r="C82" s="43" t="s">
        <v>198</v>
      </c>
      <c r="F82" s="31">
        <v>35</v>
      </c>
      <c r="G82" s="31" t="s">
        <v>253</v>
      </c>
      <c r="H82" s="31" t="s">
        <v>374</v>
      </c>
    </row>
    <row r="83" spans="1:8" x14ac:dyDescent="0.3">
      <c r="A83" s="31">
        <v>64</v>
      </c>
      <c r="B83" s="43" t="s">
        <v>403</v>
      </c>
      <c r="C83" s="43" t="s">
        <v>199</v>
      </c>
      <c r="F83" s="31">
        <v>35</v>
      </c>
      <c r="G83" s="31" t="s">
        <v>466</v>
      </c>
      <c r="H83" s="31" t="s">
        <v>405</v>
      </c>
    </row>
    <row r="84" spans="1:8" x14ac:dyDescent="0.3">
      <c r="A84" s="31">
        <v>65</v>
      </c>
      <c r="B84" s="43" t="s">
        <v>105</v>
      </c>
      <c r="C84" s="43" t="s">
        <v>200</v>
      </c>
      <c r="F84" s="31">
        <v>35</v>
      </c>
      <c r="G84" s="31" t="s">
        <v>467</v>
      </c>
      <c r="H84" s="31" t="s">
        <v>406</v>
      </c>
    </row>
    <row r="85" spans="1:8" x14ac:dyDescent="0.3">
      <c r="A85" s="31">
        <v>66</v>
      </c>
      <c r="B85" s="43" t="s">
        <v>106</v>
      </c>
      <c r="C85" s="43" t="s">
        <v>201</v>
      </c>
      <c r="F85" s="31">
        <v>6</v>
      </c>
      <c r="G85" s="31" t="s">
        <v>266</v>
      </c>
      <c r="H85" s="31" t="s">
        <v>375</v>
      </c>
    </row>
    <row r="86" spans="1:8" x14ac:dyDescent="0.3">
      <c r="A86" s="31">
        <v>67</v>
      </c>
      <c r="B86" s="43" t="s">
        <v>107</v>
      </c>
      <c r="C86" s="43" t="s">
        <v>202</v>
      </c>
      <c r="F86" s="31">
        <v>1</v>
      </c>
      <c r="G86" s="31" t="s">
        <v>269</v>
      </c>
      <c r="H86" s="31" t="s">
        <v>376</v>
      </c>
    </row>
    <row r="87" spans="1:8" x14ac:dyDescent="0.3">
      <c r="A87" s="31">
        <v>68</v>
      </c>
      <c r="B87" s="43" t="s">
        <v>108</v>
      </c>
      <c r="C87" s="43" t="s">
        <v>203</v>
      </c>
      <c r="F87" s="31">
        <v>35</v>
      </c>
      <c r="G87" s="31" t="s">
        <v>265</v>
      </c>
      <c r="H87" s="31" t="s">
        <v>377</v>
      </c>
    </row>
    <row r="88" spans="1:8" x14ac:dyDescent="0.3">
      <c r="A88" s="31">
        <v>69</v>
      </c>
      <c r="B88" s="43" t="s">
        <v>109</v>
      </c>
      <c r="C88" s="43" t="s">
        <v>204</v>
      </c>
      <c r="F88" s="31">
        <v>1</v>
      </c>
      <c r="G88" s="31" t="s">
        <v>279</v>
      </c>
      <c r="H88" s="31" t="s">
        <v>378</v>
      </c>
    </row>
    <row r="89" spans="1:8" x14ac:dyDescent="0.3">
      <c r="A89" s="31">
        <v>70</v>
      </c>
      <c r="B89" s="43" t="s">
        <v>110</v>
      </c>
      <c r="C89" s="43" t="s">
        <v>205</v>
      </c>
      <c r="F89" s="31">
        <v>35</v>
      </c>
      <c r="G89" s="31" t="s">
        <v>302</v>
      </c>
      <c r="H89" s="31" t="s">
        <v>379</v>
      </c>
    </row>
    <row r="90" spans="1:8" x14ac:dyDescent="0.3">
      <c r="A90" s="31">
        <v>71</v>
      </c>
      <c r="B90" s="43" t="s">
        <v>111</v>
      </c>
      <c r="C90" s="43" t="s">
        <v>206</v>
      </c>
      <c r="F90" s="31">
        <v>35</v>
      </c>
      <c r="G90" s="31" t="s">
        <v>275</v>
      </c>
      <c r="H90" s="31" t="s">
        <v>380</v>
      </c>
    </row>
    <row r="91" spans="1:8" x14ac:dyDescent="0.3">
      <c r="A91" s="31">
        <v>72</v>
      </c>
      <c r="B91" s="43" t="s">
        <v>112</v>
      </c>
      <c r="C91" s="43" t="s">
        <v>207</v>
      </c>
      <c r="F91" s="31">
        <v>1</v>
      </c>
      <c r="G91" s="31" t="s">
        <v>309</v>
      </c>
      <c r="H91" s="31" t="s">
        <v>381</v>
      </c>
    </row>
    <row r="92" spans="1:8" x14ac:dyDescent="0.3">
      <c r="A92" s="31">
        <v>73</v>
      </c>
      <c r="B92" s="43" t="s">
        <v>113</v>
      </c>
      <c r="C92" s="43" t="s">
        <v>208</v>
      </c>
      <c r="F92" s="31">
        <v>8</v>
      </c>
      <c r="G92" s="31" t="s">
        <v>254</v>
      </c>
      <c r="H92" s="31" t="s">
        <v>382</v>
      </c>
    </row>
    <row r="93" spans="1:8" x14ac:dyDescent="0.3">
      <c r="A93" s="31">
        <v>74</v>
      </c>
      <c r="B93" s="43" t="s">
        <v>114</v>
      </c>
      <c r="C93" s="43" t="s">
        <v>209</v>
      </c>
      <c r="F93" s="31">
        <v>8</v>
      </c>
      <c r="G93" s="31" t="s">
        <v>308</v>
      </c>
      <c r="H93" s="31" t="s">
        <v>383</v>
      </c>
    </row>
    <row r="94" spans="1:8" x14ac:dyDescent="0.3">
      <c r="A94" s="31">
        <v>75</v>
      </c>
      <c r="B94" s="43" t="s">
        <v>115</v>
      </c>
      <c r="C94" s="43" t="s">
        <v>210</v>
      </c>
      <c r="F94" s="31">
        <v>2</v>
      </c>
      <c r="G94" s="47" t="s">
        <v>426</v>
      </c>
      <c r="H94" s="31" t="s">
        <v>427</v>
      </c>
    </row>
    <row r="95" spans="1:8" x14ac:dyDescent="0.3">
      <c r="A95" s="31">
        <v>76</v>
      </c>
      <c r="B95" s="43" t="s">
        <v>428</v>
      </c>
      <c r="C95" s="43" t="s">
        <v>211</v>
      </c>
      <c r="F95" s="31">
        <v>16</v>
      </c>
    </row>
    <row r="96" spans="1:8" x14ac:dyDescent="0.3">
      <c r="A96" s="31">
        <v>77</v>
      </c>
      <c r="B96" s="43" t="s">
        <v>404</v>
      </c>
      <c r="C96" s="43" t="s">
        <v>212</v>
      </c>
      <c r="F96" s="31">
        <v>16</v>
      </c>
      <c r="G96" s="31" t="s">
        <v>412</v>
      </c>
      <c r="H96" s="31" t="s">
        <v>413</v>
      </c>
    </row>
    <row r="97" spans="1:9" x14ac:dyDescent="0.3">
      <c r="A97" s="31">
        <v>78</v>
      </c>
      <c r="B97" s="43" t="s">
        <v>116</v>
      </c>
      <c r="C97" s="43" t="s">
        <v>213</v>
      </c>
      <c r="F97" s="31">
        <v>11</v>
      </c>
      <c r="G97" s="31" t="s">
        <v>257</v>
      </c>
      <c r="H97" s="31" t="s">
        <v>384</v>
      </c>
    </row>
    <row r="98" spans="1:9" x14ac:dyDescent="0.3">
      <c r="A98" s="31">
        <v>79</v>
      </c>
      <c r="B98" s="43" t="s">
        <v>117</v>
      </c>
      <c r="C98" s="43" t="s">
        <v>214</v>
      </c>
      <c r="F98" s="31">
        <v>11</v>
      </c>
      <c r="G98" s="31" t="s">
        <v>286</v>
      </c>
      <c r="H98" s="31" t="s">
        <v>385</v>
      </c>
    </row>
    <row r="99" spans="1:9" x14ac:dyDescent="0.3">
      <c r="A99" s="31">
        <v>80</v>
      </c>
      <c r="B99" s="43" t="s">
        <v>118</v>
      </c>
      <c r="C99" s="43" t="s">
        <v>215</v>
      </c>
      <c r="F99" s="31">
        <v>35</v>
      </c>
      <c r="G99" s="31" t="s">
        <v>311</v>
      </c>
      <c r="H99" s="31" t="s">
        <v>386</v>
      </c>
    </row>
    <row r="100" spans="1:9" x14ac:dyDescent="0.3">
      <c r="A100" s="31">
        <v>81</v>
      </c>
      <c r="B100" s="43" t="s">
        <v>119</v>
      </c>
      <c r="C100" s="43" t="s">
        <v>216</v>
      </c>
      <c r="F100" s="31" t="s">
        <v>237</v>
      </c>
      <c r="G100" s="31" t="s">
        <v>304</v>
      </c>
      <c r="H100" s="31" t="s">
        <v>387</v>
      </c>
      <c r="I100" s="31" t="s">
        <v>233</v>
      </c>
    </row>
    <row r="101" spans="1:9" x14ac:dyDescent="0.3">
      <c r="A101" s="31">
        <v>82</v>
      </c>
      <c r="B101" s="43" t="s">
        <v>120</v>
      </c>
      <c r="C101" s="43" t="s">
        <v>217</v>
      </c>
      <c r="F101" s="31">
        <v>1</v>
      </c>
      <c r="G101" s="31" t="s">
        <v>315</v>
      </c>
      <c r="H101" s="31" t="s">
        <v>388</v>
      </c>
    </row>
    <row r="102" spans="1:9" x14ac:dyDescent="0.3">
      <c r="A102" s="31">
        <v>83</v>
      </c>
      <c r="B102" s="43" t="s">
        <v>121</v>
      </c>
      <c r="C102" s="43" t="s">
        <v>218</v>
      </c>
      <c r="F102" s="31">
        <v>1</v>
      </c>
      <c r="G102" s="31" t="s">
        <v>316</v>
      </c>
      <c r="H102" s="31" t="s">
        <v>389</v>
      </c>
    </row>
    <row r="103" spans="1:9" x14ac:dyDescent="0.3">
      <c r="A103" s="31">
        <v>84</v>
      </c>
      <c r="B103" s="43" t="s">
        <v>122</v>
      </c>
      <c r="C103" s="43" t="s">
        <v>219</v>
      </c>
      <c r="F103" s="31">
        <v>8</v>
      </c>
      <c r="G103" s="31" t="s">
        <v>278</v>
      </c>
      <c r="H103" s="31" t="s">
        <v>390</v>
      </c>
    </row>
    <row r="104" spans="1:9" x14ac:dyDescent="0.3">
      <c r="A104" s="31">
        <v>85</v>
      </c>
      <c r="B104" s="43" t="s">
        <v>123</v>
      </c>
      <c r="C104" s="43" t="s">
        <v>220</v>
      </c>
      <c r="F104" s="31">
        <v>5</v>
      </c>
      <c r="G104" s="31" t="s">
        <v>276</v>
      </c>
      <c r="H104" s="31" t="s">
        <v>391</v>
      </c>
    </row>
    <row r="105" spans="1:9" x14ac:dyDescent="0.3">
      <c r="A105" s="31">
        <v>86</v>
      </c>
      <c r="B105" s="43" t="s">
        <v>124</v>
      </c>
      <c r="C105" s="43" t="s">
        <v>221</v>
      </c>
      <c r="F105" s="31">
        <v>5</v>
      </c>
      <c r="G105" s="31" t="s">
        <v>277</v>
      </c>
      <c r="H105" s="31" t="s">
        <v>392</v>
      </c>
    </row>
    <row r="106" spans="1:9" x14ac:dyDescent="0.3">
      <c r="A106" s="31">
        <v>87</v>
      </c>
      <c r="B106" s="43" t="s">
        <v>125</v>
      </c>
      <c r="C106" s="43" t="s">
        <v>222</v>
      </c>
      <c r="F106" s="31" t="s">
        <v>238</v>
      </c>
      <c r="G106" s="31" t="s">
        <v>305</v>
      </c>
      <c r="H106" s="31" t="s">
        <v>393</v>
      </c>
      <c r="I106" s="31" t="s">
        <v>233</v>
      </c>
    </row>
    <row r="107" spans="1:9" x14ac:dyDescent="0.3">
      <c r="A107" s="31">
        <v>88</v>
      </c>
      <c r="B107" s="43" t="s">
        <v>126</v>
      </c>
      <c r="C107" s="43" t="s">
        <v>223</v>
      </c>
      <c r="F107" s="31">
        <v>8</v>
      </c>
      <c r="G107" s="31" t="s">
        <v>263</v>
      </c>
      <c r="H107" s="31" t="s">
        <v>394</v>
      </c>
    </row>
    <row r="108" spans="1:9" x14ac:dyDescent="0.3">
      <c r="A108" s="31">
        <v>89</v>
      </c>
      <c r="B108" s="43" t="s">
        <v>127</v>
      </c>
      <c r="C108" s="43" t="s">
        <v>224</v>
      </c>
      <c r="F108" s="31">
        <v>2</v>
      </c>
      <c r="G108" s="31" t="s">
        <v>271</v>
      </c>
      <c r="H108" s="31" t="s">
        <v>395</v>
      </c>
    </row>
    <row r="109" spans="1:9" x14ac:dyDescent="0.3">
      <c r="A109" s="31">
        <v>90</v>
      </c>
      <c r="B109" s="43" t="s">
        <v>128</v>
      </c>
      <c r="C109" s="43" t="s">
        <v>225</v>
      </c>
      <c r="F109" s="31">
        <v>20</v>
      </c>
      <c r="G109" s="31" t="s">
        <v>255</v>
      </c>
      <c r="H109" s="31" t="s">
        <v>396</v>
      </c>
    </row>
    <row r="110" spans="1:9" x14ac:dyDescent="0.3">
      <c r="A110" s="31">
        <v>91</v>
      </c>
      <c r="B110" s="43" t="s">
        <v>129</v>
      </c>
      <c r="C110" s="43" t="s">
        <v>226</v>
      </c>
      <c r="F110" s="31">
        <v>8</v>
      </c>
      <c r="G110" s="31" t="s">
        <v>256</v>
      </c>
      <c r="H110" s="31" t="s">
        <v>397</v>
      </c>
    </row>
    <row r="111" spans="1:9" x14ac:dyDescent="0.3">
      <c r="A111" s="31">
        <v>92</v>
      </c>
      <c r="B111" s="43" t="s">
        <v>130</v>
      </c>
      <c r="C111" s="43" t="s">
        <v>227</v>
      </c>
      <c r="F111" s="31">
        <v>8</v>
      </c>
      <c r="G111" s="31" t="s">
        <v>258</v>
      </c>
      <c r="H111" s="31" t="s">
        <v>398</v>
      </c>
    </row>
    <row r="112" spans="1:9" x14ac:dyDescent="0.3">
      <c r="A112" s="31">
        <v>93</v>
      </c>
      <c r="B112" s="43" t="s">
        <v>131</v>
      </c>
      <c r="C112" s="43" t="s">
        <v>228</v>
      </c>
      <c r="F112" s="31">
        <v>30</v>
      </c>
      <c r="G112" s="31" t="s">
        <v>317</v>
      </c>
      <c r="H112" s="31" t="s">
        <v>399</v>
      </c>
    </row>
    <row r="113" spans="1:8" x14ac:dyDescent="0.3">
      <c r="A113" s="31">
        <v>94</v>
      </c>
      <c r="B113" s="43" t="s">
        <v>132</v>
      </c>
      <c r="C113" s="43" t="s">
        <v>229</v>
      </c>
      <c r="F113" s="31">
        <v>15</v>
      </c>
      <c r="G113" s="31" t="s">
        <v>318</v>
      </c>
      <c r="H113" s="31" t="s">
        <v>400</v>
      </c>
    </row>
    <row r="114" spans="1:8" x14ac:dyDescent="0.3">
      <c r="A114" s="31">
        <v>95</v>
      </c>
      <c r="B114" s="43" t="s">
        <v>133</v>
      </c>
      <c r="C114" s="43" t="s">
        <v>230</v>
      </c>
      <c r="F114" s="31">
        <v>20</v>
      </c>
      <c r="G114" s="31" t="s">
        <v>287</v>
      </c>
      <c r="H114" s="31" t="s">
        <v>401</v>
      </c>
    </row>
    <row r="115" spans="1:8" x14ac:dyDescent="0.3">
      <c r="A115" s="31">
        <v>96</v>
      </c>
      <c r="B115" s="43" t="s">
        <v>134</v>
      </c>
      <c r="C115" s="43" t="s">
        <v>231</v>
      </c>
      <c r="F115" s="31">
        <v>20</v>
      </c>
      <c r="G115" s="31" t="s">
        <v>288</v>
      </c>
      <c r="H115" s="31" t="s">
        <v>402</v>
      </c>
    </row>
    <row r="116" spans="1:8" x14ac:dyDescent="0.3">
      <c r="A116" s="31">
        <v>97</v>
      </c>
      <c r="B116" s="43" t="s">
        <v>135</v>
      </c>
      <c r="C116" s="43" t="s">
        <v>232</v>
      </c>
      <c r="F116" s="31">
        <v>1</v>
      </c>
      <c r="G116" s="31" t="s">
        <v>417</v>
      </c>
    </row>
    <row r="117" spans="1:8" x14ac:dyDescent="0.3">
      <c r="A117" s="45">
        <v>98</v>
      </c>
      <c r="B117" s="43" t="s">
        <v>429</v>
      </c>
      <c r="C117" s="31" t="s">
        <v>430</v>
      </c>
      <c r="F117" s="31">
        <v>1</v>
      </c>
      <c r="G117" s="31" t="s">
        <v>431</v>
      </c>
      <c r="H117" s="31" t="s">
        <v>432</v>
      </c>
    </row>
    <row r="118" spans="1:8" x14ac:dyDescent="0.3">
      <c r="A118" s="48">
        <v>99</v>
      </c>
      <c r="B118" s="23" t="s">
        <v>437</v>
      </c>
      <c r="C118" s="24" t="s">
        <v>438</v>
      </c>
      <c r="D118" s="25"/>
      <c r="E118" s="25"/>
      <c r="F118" s="48" t="s">
        <v>439</v>
      </c>
      <c r="G118" s="24" t="s">
        <v>440</v>
      </c>
      <c r="H118" s="24" t="s">
        <v>441</v>
      </c>
    </row>
    <row r="119" spans="1:8" x14ac:dyDescent="0.3">
      <c r="A119" s="48">
        <v>100</v>
      </c>
      <c r="B119" s="27" t="s">
        <v>442</v>
      </c>
      <c r="C119" s="24" t="s">
        <v>443</v>
      </c>
      <c r="D119" s="25"/>
      <c r="E119" s="25"/>
      <c r="F119" s="48" t="s">
        <v>444</v>
      </c>
      <c r="G119" s="24" t="s">
        <v>445</v>
      </c>
      <c r="H119" s="24" t="s">
        <v>446</v>
      </c>
    </row>
    <row r="120" spans="1:8" x14ac:dyDescent="0.3">
      <c r="A120" s="48">
        <v>101</v>
      </c>
      <c r="B120" s="27" t="s">
        <v>447</v>
      </c>
      <c r="C120" s="24" t="s">
        <v>448</v>
      </c>
      <c r="D120" s="25"/>
      <c r="E120" s="25"/>
      <c r="F120" s="48" t="s">
        <v>439</v>
      </c>
      <c r="G120" s="24" t="s">
        <v>449</v>
      </c>
      <c r="H120" s="24" t="s">
        <v>450</v>
      </c>
    </row>
    <row r="121" spans="1:8" ht="17" x14ac:dyDescent="0.4">
      <c r="B121" s="27"/>
      <c r="C121" s="24"/>
      <c r="D121" s="25"/>
      <c r="E121" s="25"/>
      <c r="F121" s="26"/>
      <c r="G121" s="26"/>
      <c r="H121" s="26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opLeftCell="A8" zoomScaleNormal="100" workbookViewId="0">
      <selection activeCell="D4" sqref="D4"/>
    </sheetView>
  </sheetViews>
  <sheetFormatPr defaultColWidth="8.8984375" defaultRowHeight="14.5" x14ac:dyDescent="0.3"/>
  <cols>
    <col min="1" max="1" width="8" style="11" bestFit="1" customWidth="1"/>
    <col min="2" max="2" width="10.8984375" style="11" customWidth="1"/>
    <col min="3" max="3" width="10" style="11" bestFit="1" customWidth="1"/>
    <col min="4" max="4" width="39.59765625" style="11" bestFit="1" customWidth="1"/>
    <col min="5" max="5" width="67.69921875" style="11" customWidth="1"/>
    <col min="6" max="16384" width="8.8984375" style="11"/>
  </cols>
  <sheetData>
    <row r="1" spans="1:5" x14ac:dyDescent="0.35">
      <c r="A1" s="10"/>
      <c r="B1" s="10" t="s">
        <v>33</v>
      </c>
      <c r="C1" s="18" t="str">
        <f>+"http://10.11.62.82:28080/IRIS/api/v1.0.0/party/"&amp;規格!$C$1</f>
        <v>http://10.11.62.82:28080/IRIS/api/v1.0.0/party/EC0002</v>
      </c>
      <c r="E1" s="9"/>
    </row>
    <row r="2" spans="1:5" x14ac:dyDescent="0.35">
      <c r="A2" s="9"/>
      <c r="B2" s="9" t="s">
        <v>34</v>
      </c>
      <c r="C2" s="18" t="str">
        <f>+"http://10.11.62.82:58080/IRIS/api/v1.0.0/party/"&amp;規格!$C$1</f>
        <v>http://10.11.62.82:58080/IRIS/api/v1.0.0/party/EC0002</v>
      </c>
      <c r="E2" s="9"/>
    </row>
    <row r="3" spans="1:5" x14ac:dyDescent="0.35">
      <c r="B3" s="12" t="s">
        <v>28</v>
      </c>
      <c r="C3" s="13" t="s">
        <v>29</v>
      </c>
      <c r="D3" s="13" t="s">
        <v>30</v>
      </c>
      <c r="E3" s="14" t="s">
        <v>19</v>
      </c>
    </row>
    <row r="4" spans="1:5" ht="408.4" customHeight="1" x14ac:dyDescent="0.3">
      <c r="B4" s="15" t="s">
        <v>31</v>
      </c>
      <c r="C4" s="15"/>
      <c r="D4" s="16" t="s">
        <v>470</v>
      </c>
      <c r="E4" s="17" t="s">
        <v>323</v>
      </c>
    </row>
    <row r="5" spans="1:5" x14ac:dyDescent="0.3">
      <c r="B5" s="15"/>
      <c r="C5" s="15"/>
      <c r="D5" s="17"/>
      <c r="E5" s="17"/>
    </row>
  </sheetData>
  <phoneticPr fontId="3" type="noConversion"/>
  <hyperlinks>
    <hyperlink ref="C1" r:id="rId1" display="http://10.11.62.82:28080/IRIS/api/v1.0.0/party/EL0099" xr:uid="{A746E610-04A6-4B44-980B-D56AEADFCB6E}"/>
    <hyperlink ref="C2" r:id="rId2" display="http://10.11.62.82:28080/IRIS/api/v1.0.0/party/EL0099" xr:uid="{B34C8FA5-ECD0-4579-8E76-F1A9BDC4FAB2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4E32100BAE5DCE4F9C155AAD97947D50" ma:contentTypeVersion="13" ma:contentTypeDescription="建立新的文件。" ma:contentTypeScope="" ma:versionID="78ddff13b25f1135ba815ed5b9eb3bed">
  <xsd:schema xmlns:xsd="http://www.w3.org/2001/XMLSchema" xmlns:xs="http://www.w3.org/2001/XMLSchema" xmlns:p="http://schemas.microsoft.com/office/2006/metadata/properties" xmlns:ns2="afffd9b5-d826-49dc-89e8-17bc93ffc849" xmlns:ns3="9b10d53a-0dcd-41b3-b6f6-4af11011f125" targetNamespace="http://schemas.microsoft.com/office/2006/metadata/properties" ma:root="true" ma:fieldsID="e54293016aa70b608b23266f983f9663" ns2:_="" ns3:_="">
    <xsd:import namespace="afffd9b5-d826-49dc-89e8-17bc93ffc849"/>
    <xsd:import namespace="9b10d53a-0dcd-41b3-b6f6-4af11011f1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fd9b5-d826-49dc-89e8-17bc93ffc8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19" nillable="true" ma:displayName="簽核狀態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0d53a-0dcd-41b3-b6f6-4af11011f1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6d3c831-f6d3-4136-9e4e-29eddc41c950}" ma:internalName="TaxCatchAll" ma:showField="CatchAllData" ma:web="9b10d53a-0dcd-41b3-b6f6-4af11011f1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afffd9b5-d826-49dc-89e8-17bc93ffc849" xsi:nil="true"/>
    <TaxCatchAll xmlns="9b10d53a-0dcd-41b3-b6f6-4af11011f125" xsi:nil="true"/>
    <lcf76f155ced4ddcb4097134ff3c332f xmlns="afffd9b5-d826-49dc-89e8-17bc93ffc84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B6C15C-6229-456D-B959-9D809DF98969}"/>
</file>

<file path=customXml/itemProps2.xml><?xml version="1.0" encoding="utf-8"?>
<ds:datastoreItem xmlns:ds="http://schemas.openxmlformats.org/officeDocument/2006/customXml" ds:itemID="{DD50923C-95A5-44F6-BCC1-6F9FBFEF857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ab2e9cef-f5ae-4fca-a593-546d369e6708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55334F2-BD2D-432B-9C99-C34C46175C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修改歷程</vt:lpstr>
      <vt:lpstr>規格</vt:lpstr>
      <vt:lpstr>JSON Request-Response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江芷螢Kelly Chiang-核心應用部-永豐銀行</cp:lastModifiedBy>
  <cp:revision/>
  <dcterms:created xsi:type="dcterms:W3CDTF">2020-03-13T10:54:50Z</dcterms:created>
  <dcterms:modified xsi:type="dcterms:W3CDTF">2026-02-24T11:31:50Z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0x0101004E32100BAE5DCE4F9C155AAD97947D50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