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120263\需求單\00 202505070173_T24電文必要欄位\"/>
    </mc:Choice>
  </mc:AlternateContent>
  <xr:revisionPtr revIDLastSave="0" documentId="13_ncr:1_{4B210A31-BC2C-47CC-8E75-52CB64308F05}" xr6:coauthVersionLast="47" xr6:coauthVersionMax="47" xr10:uidLastSave="{00000000-0000-0000-0000-000000000000}"/>
  <bookViews>
    <workbookView xWindow="20370" yWindow="-120" windowWidth="29040" windowHeight="15840" tabRatio="656" xr2:uid="{00000000-000D-0000-FFFF-FFFF00000000}"/>
  </bookViews>
  <sheets>
    <sheet name="Document History" sheetId="7" r:id="rId1"/>
    <sheet name="Spec" sheetId="8" r:id="rId2"/>
    <sheet name="JSON Request-Response " sheetId="6" r:id="rId3"/>
  </sheets>
  <definedNames>
    <definedName name="_xlnm._FilterDatabase" localSheetId="1" hidden="1">Spec!$A$13:$M$218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6" l="1"/>
  <c r="C1" i="6"/>
  <c r="C8" i="8"/>
  <c r="C3" i="8" l="1"/>
</calcChain>
</file>

<file path=xl/sharedStrings.xml><?xml version="1.0" encoding="utf-8"?>
<sst xmlns="http://schemas.openxmlformats.org/spreadsheetml/2006/main" count="1457" uniqueCount="975">
  <si>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</si>
  <si>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</si>
  <si>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</si>
  <si>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</si>
  <si>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</si>
  <si>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</si>
  <si>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</si>
  <si>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</si>
  <si>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TXN</t>
  </si>
  <si>
    <t>File Name</t>
  </si>
  <si>
    <t>N/A</t>
    <phoneticPr fontId="4" type="noConversion"/>
  </si>
  <si>
    <t>No</t>
  </si>
  <si>
    <t>FIND.FIELD</t>
  </si>
  <si>
    <t>API Vocabulary</t>
    <phoneticPr fontId="4" type="noConversion"/>
  </si>
  <si>
    <t>Length</t>
  </si>
  <si>
    <t>Mapping T24 Table</t>
  </si>
  <si>
    <t>4L</t>
  </si>
  <si>
    <t>Response json</t>
  </si>
  <si>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</si>
  <si>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Single Multi</t>
    <phoneticPr fontId="4" type="noConversion"/>
  </si>
  <si>
    <t>Request</t>
    <phoneticPr fontId="4" type="noConversion"/>
  </si>
  <si>
    <t>Mandatory</t>
    <phoneticPr fontId="4" type="noConversion"/>
  </si>
  <si>
    <t>Description</t>
    <phoneticPr fontId="4" type="noConversion"/>
  </si>
  <si>
    <t>URL</t>
    <phoneticPr fontId="4" type="noConversion"/>
  </si>
  <si>
    <t>ENQ / TXN / AAA</t>
    <phoneticPr fontId="4" type="noConversion"/>
  </si>
  <si>
    <t>Header</t>
    <phoneticPr fontId="4" type="noConversion"/>
  </si>
  <si>
    <t>OVERRIDE-1</t>
  </si>
  <si>
    <t>RECORD.STATUS</t>
  </si>
  <si>
    <t>INPUTTER-1</t>
  </si>
  <si>
    <t>DATE.TIME-1</t>
  </si>
  <si>
    <t>AUTHORISER</t>
  </si>
  <si>
    <t>CO.CODE</t>
  </si>
  <si>
    <t>T.KPI.BR</t>
  </si>
  <si>
    <t>TKpiBr</t>
  </si>
  <si>
    <t>TAuthoriser</t>
  </si>
  <si>
    <t>35L</t>
  </si>
  <si>
    <t>4R</t>
  </si>
  <si>
    <t>100L</t>
  </si>
  <si>
    <t>15R</t>
  </si>
  <si>
    <t>11L</t>
  </si>
  <si>
    <t>16L</t>
  </si>
  <si>
    <t>6L</t>
  </si>
  <si>
    <t>XX.</t>
  </si>
  <si>
    <t>METHOD</t>
    <phoneticPr fontId="4" type="noConversion"/>
  </si>
  <si>
    <t>Function</t>
    <phoneticPr fontId="4" type="noConversion"/>
  </si>
  <si>
    <t>GET</t>
    <phoneticPr fontId="4" type="noConversion"/>
  </si>
  <si>
    <t>GET
POST
DELETE
POST (validate_only=true)</t>
    <phoneticPr fontId="4" type="noConversion"/>
  </si>
  <si>
    <t>Drawdown List</t>
    <phoneticPr fontId="4" type="noConversion"/>
  </si>
  <si>
    <t>Field Description</t>
    <phoneticPr fontId="4" type="noConversion"/>
  </si>
  <si>
    <t>METHOD (GET/POST/PUT/DELETE)</t>
    <phoneticPr fontId="4" type="noConversion"/>
  </si>
  <si>
    <t>Original Version ID</t>
    <phoneticPr fontId="4" type="noConversion"/>
  </si>
  <si>
    <t>Request json</t>
    <phoneticPr fontId="4" type="noConversion"/>
  </si>
  <si>
    <t>Version ID</t>
    <phoneticPr fontId="4" type="noConversion"/>
  </si>
  <si>
    <t>Activity</t>
    <phoneticPr fontId="4" type="noConversion"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</si>
  <si>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</si>
  <si>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r>
      <rPr>
        <b/>
        <sz val="11"/>
        <rFont val="微軟正黑體"/>
        <family val="2"/>
        <charset val="136"/>
      </rPr>
      <t>交易名稱</t>
    </r>
    <phoneticPr fontId="4" type="noConversion"/>
  </si>
  <si>
    <r>
      <rPr>
        <b/>
        <sz val="11"/>
        <rFont val="微軟正黑體"/>
        <family val="2"/>
        <charset val="136"/>
      </rPr>
      <t>欄位名稱</t>
    </r>
    <phoneticPr fontId="4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</si>
  <si>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4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</si>
  <si>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4" type="noConversion"/>
  </si>
  <si>
    <r>
      <rPr>
        <b/>
        <sz val="11"/>
        <rFont val="微軟正黑體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微軟正黑體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微軟正黑體"/>
        <family val="2"/>
        <charset val="136"/>
      </rPr>
      <t>靠右</t>
    </r>
    <r>
      <rPr>
        <b/>
        <sz val="11"/>
        <rFont val="Calibri"/>
        <family val="2"/>
      </rPr>
      <t>R)</t>
    </r>
    <phoneticPr fontId="4" type="noConversion"/>
  </si>
  <si>
    <r>
      <t>Request</t>
    </r>
    <r>
      <rPr>
        <b/>
        <sz val="11"/>
        <rFont val="微軟正黑體"/>
        <family val="2"/>
        <charset val="136"/>
      </rPr>
      <t>可輸欄位</t>
    </r>
    <phoneticPr fontId="4" type="noConversion"/>
  </si>
  <si>
    <r>
      <rPr>
        <b/>
        <sz val="11"/>
        <rFont val="微軟正黑體"/>
        <family val="2"/>
        <charset val="136"/>
      </rPr>
      <t>必輸欄位</t>
    </r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</si>
  <si>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T24</t>
    </r>
    <r>
      <rPr>
        <b/>
        <sz val="11"/>
        <rFont val="微軟正黑體"/>
        <family val="2"/>
        <charset val="136"/>
      </rPr>
      <t>表</t>
    </r>
    <phoneticPr fontId="4" type="noConversion"/>
  </si>
  <si>
    <r>
      <rPr>
        <b/>
        <sz val="11"/>
        <rFont val="微軟正黑體"/>
        <family val="2"/>
        <charset val="136"/>
      </rPr>
      <t>下拉選項</t>
    </r>
    <phoneticPr fontId="4" type="noConversion"/>
  </si>
  <si>
    <r>
      <rPr>
        <b/>
        <sz val="11"/>
        <rFont val="微軟正黑體"/>
        <family val="2"/>
        <charset val="136"/>
      </rPr>
      <t>欄位說明</t>
    </r>
    <phoneticPr fontId="4" type="noConversion"/>
  </si>
  <si>
    <t>1L</t>
  </si>
  <si>
    <t>3L</t>
  </si>
  <si>
    <t>20L</t>
  </si>
  <si>
    <t>10L</t>
  </si>
  <si>
    <t>NETBANK</t>
    <phoneticPr fontId="4" type="noConversion"/>
  </si>
  <si>
    <t>MOBILE</t>
    <phoneticPr fontId="4" type="noConversion"/>
  </si>
  <si>
    <t>Document History</t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</si>
  <si>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4" type="noConversion"/>
  </si>
  <si>
    <t>Response</t>
    <phoneticPr fontId="4" type="noConversion"/>
  </si>
  <si>
    <r>
      <t>Respone</t>
    </r>
    <r>
      <rPr>
        <b/>
        <sz val="11"/>
        <rFont val="微軟正黑體"/>
        <family val="2"/>
        <charset val="136"/>
      </rPr>
      <t>輸出欄位</t>
    </r>
    <phoneticPr fontId="4" type="noConversion"/>
  </si>
  <si>
    <t>PROMPT.TEXT</t>
    <phoneticPr fontId="4" type="noConversion"/>
  </si>
  <si>
    <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id
validate_only: </t>
    </r>
    <r>
      <rPr>
        <sz val="11"/>
        <color theme="1"/>
        <rFont val="微軟正黑體"/>
        <family val="2"/>
        <charset val="136"/>
      </rPr>
      <t>驗證模式(true,false)
numberOfAuthorisers: 授權人數</t>
    </r>
    <phoneticPr fontId="4" type="noConversion"/>
  </si>
  <si>
    <t>OVERRIDE</t>
  </si>
  <si>
    <t>CURRENCY</t>
  </si>
  <si>
    <t>CURR.NO</t>
  </si>
  <si>
    <t>DEPT.CODE</t>
  </si>
  <si>
    <t>T.AUTHORISER</t>
  </si>
  <si>
    <t>3R</t>
  </si>
  <si>
    <t>M</t>
  </si>
  <si>
    <t>V</t>
    <phoneticPr fontId="4" type="noConversion"/>
  </si>
  <si>
    <t>KPI BRANCH</t>
  </si>
  <si>
    <t>PUT</t>
    <phoneticPr fontId="4" type="noConversion"/>
  </si>
  <si>
    <t>IL0004</t>
  </si>
  <si>
    <t>私房錢結清執行_未曾動用</t>
    <phoneticPr fontId="4" type="noConversion"/>
  </si>
  <si>
    <t>LIMIT,TMB.INAU</t>
    <phoneticPr fontId="4" type="noConversion"/>
  </si>
  <si>
    <t>LIMIT</t>
    <phoneticPr fontId="4" type="noConversion"/>
  </si>
  <si>
    <t>LIMIT.CURRENCY</t>
  </si>
  <si>
    <t>APPROVAL.DATE</t>
  </si>
  <si>
    <t>PROPOSAL.DATE</t>
  </si>
  <si>
    <t>ONLINE.LIMIT.DATE</t>
  </si>
  <si>
    <t>EXPIRY.DATE</t>
  </si>
  <si>
    <t>T.ORIG.START.DT</t>
  </si>
  <si>
    <t>T.REV.NONREV</t>
  </si>
  <si>
    <t>INTERNAL.AMOUNT</t>
  </si>
  <si>
    <t>MAXIMUM.TOTAL</t>
  </si>
  <si>
    <t>T.PROC.STATUS</t>
  </si>
  <si>
    <t>SUB.ALLOC.GIVEN-1</t>
  </si>
  <si>
    <t>TOTAL.OS-1</t>
  </si>
  <si>
    <t>AVAIL.AMT-1</t>
  </si>
  <si>
    <t>S.AL.TKN.CCY-1.1</t>
  </si>
  <si>
    <t>S.AL.TKN.AMT-1.1</t>
  </si>
  <si>
    <t>S.AL.GVN.CCY-1.1</t>
  </si>
  <si>
    <t>S.AL.GVN.AMT-1.1</t>
  </si>
  <si>
    <t>COMMITM.CCY-1.1</t>
  </si>
  <si>
    <t>COMMITM.AMT-1.1</t>
  </si>
  <si>
    <t>OS.CCY-1.1</t>
  </si>
  <si>
    <t>OS.AMT-1.1</t>
  </si>
  <si>
    <t>AVAILABLE.MARKER</t>
  </si>
  <si>
    <t>T.CASE.CHAR</t>
  </si>
  <si>
    <t>T.CORP.CUST</t>
  </si>
  <si>
    <t>T.DOCU.BRA</t>
  </si>
  <si>
    <t>T.DRAWDOWN</t>
  </si>
  <si>
    <t>T.FUND.PUR</t>
  </si>
  <si>
    <t>T.LIMIT.STATUS</t>
  </si>
  <si>
    <t>T.LN.MAIN.AC.NO</t>
  </si>
  <si>
    <t>T.LOAN.PUR</t>
  </si>
  <si>
    <t>T.LOC.ACCT</t>
  </si>
  <si>
    <t>T.LOC.APPR-1</t>
  </si>
  <si>
    <t>T.LOC.RISK</t>
  </si>
  <si>
    <t>T.MAX.TENOR.MM</t>
  </si>
  <si>
    <t>T.SEC.TYPE</t>
  </si>
  <si>
    <t>T.FIN.TYPE</t>
  </si>
  <si>
    <t>UNUTIL.ACCT</t>
  </si>
  <si>
    <t>ALLOW.UNUTIL.CR</t>
  </si>
  <si>
    <t>T.COMM.END.DT</t>
  </si>
  <si>
    <t>REDUCING.LIMIT</t>
  </si>
  <si>
    <t>FX.OR.TIME.BAND</t>
  </si>
  <si>
    <t>NOTES-1</t>
  </si>
  <si>
    <t>T.AO</t>
  </si>
  <si>
    <t>T.OTHER.AO</t>
  </si>
  <si>
    <t>T.GROUP.ID-1</t>
  </si>
  <si>
    <t>T.SHIFT.LIMIT</t>
  </si>
  <si>
    <t>T.HOUSE.LIMIT</t>
  </si>
  <si>
    <t>T.SHIFT.REASON</t>
  </si>
  <si>
    <t>T.SHIFT.RSN.DT</t>
  </si>
  <si>
    <t>T.SHIFT.MAX.AMT</t>
  </si>
  <si>
    <t>T.SHIFT.MIN.AMT</t>
  </si>
  <si>
    <t>T.SHIFT.NUS.AMT</t>
  </si>
  <si>
    <t>T.SHIFT.NOTES</t>
  </si>
  <si>
    <t>T.EXTEN.CHG.PCT</t>
  </si>
  <si>
    <t>T.EXTEN.CHG.AMT</t>
  </si>
  <si>
    <t>T.EXTEN.MAX</t>
  </si>
  <si>
    <t>T.EXTEN.NUMBER</t>
  </si>
  <si>
    <t>T.EXTEN.TYPE</t>
  </si>
  <si>
    <t>T.EXTEN.STATUS</t>
  </si>
  <si>
    <t>T.EXTEN.MARK</t>
  </si>
  <si>
    <t>T.EXTEN.RUNDT</t>
  </si>
  <si>
    <t>T.EXTEN.FREQ</t>
  </si>
  <si>
    <t>T.LOAN.APP</t>
  </si>
  <si>
    <t>T.LOAN.SEQ</t>
  </si>
  <si>
    <t>T.CERT.ACQ.DT</t>
  </si>
  <si>
    <t>T.CONTROL</t>
  </si>
  <si>
    <t>T.DOCU.STATUS</t>
  </si>
  <si>
    <t>T.COMPEN.ID</t>
  </si>
  <si>
    <t>T.COM.CODE</t>
  </si>
  <si>
    <t>T.COMPEN.AMT</t>
  </si>
  <si>
    <t>T.GP.ENTERPRISE</t>
  </si>
  <si>
    <t>T.JOINT.MGMT</t>
  </si>
  <si>
    <t>T.VEH.CODE.DT</t>
  </si>
  <si>
    <t>T.VEHICLE.CODE</t>
  </si>
  <si>
    <t>T.ENTR.CODE</t>
  </si>
  <si>
    <t>T.RE.H.AGENT</t>
  </si>
  <si>
    <t>T.INSURCER.DT</t>
  </si>
  <si>
    <t>T.SMEG.MARKER</t>
  </si>
  <si>
    <t>T.BD.LIAB.SELL</t>
  </si>
  <si>
    <t>T.FE.NEGO</t>
  </si>
  <si>
    <t>T.CUSTCERT.GUAR</t>
  </si>
  <si>
    <t>T.GOVSUBSIDY.T</t>
  </si>
  <si>
    <t>T.RE.STAFF.CODE</t>
  </si>
  <si>
    <t>T.GUAR.END.DT</t>
  </si>
  <si>
    <t>T.PROJECT.ID</t>
  </si>
  <si>
    <t>T.PROJ.REV</t>
  </si>
  <si>
    <t>T.PROJ.REAS-1</t>
  </si>
  <si>
    <t>T.ORIG.ID</t>
  </si>
  <si>
    <t>T.PREROLLREV.DT</t>
  </si>
  <si>
    <t>T.JOINT.MGM.PER</t>
  </si>
  <si>
    <t>T.GROUP.UNIT</t>
  </si>
  <si>
    <t>T.COLL.ENT.DT</t>
  </si>
  <si>
    <t>T.COLL.ORG</t>
  </si>
  <si>
    <t>T.FAX.AGR</t>
  </si>
  <si>
    <t>T.LIAB.NEGO</t>
  </si>
  <si>
    <t>T.RESOURCE.A</t>
  </si>
  <si>
    <t>T.OD.EVENTS</t>
  </si>
  <si>
    <t>T.OPER.RATE</t>
  </si>
  <si>
    <t>T.BATHSLN.CD</t>
  </si>
  <si>
    <t>T.FIN.SUBTYPE</t>
  </si>
  <si>
    <t>T.JOIMGMAGR.DT</t>
  </si>
  <si>
    <t>T.JCIC.MARKER</t>
  </si>
  <si>
    <t>T.CERT.SCH.DT</t>
  </si>
  <si>
    <t>T.LIMMGM.BRA</t>
  </si>
  <si>
    <t>T.REPAY.ACCT</t>
  </si>
  <si>
    <t>T.DP.ACNO</t>
  </si>
  <si>
    <t>T.SPOUSE.ID</t>
  </si>
  <si>
    <t>T.SPOUSE.NAME</t>
  </si>
  <si>
    <t>T.GETINSU.DT</t>
  </si>
  <si>
    <t>T.LB.TYPE</t>
  </si>
  <si>
    <t>T.LB.GCNT</t>
  </si>
  <si>
    <t>T.LB.NCNT</t>
  </si>
  <si>
    <t>T.LB.ACODE</t>
  </si>
  <si>
    <t>T.12OF1</t>
  </si>
  <si>
    <t>T.LAWS.FG</t>
  </si>
  <si>
    <t>T.PRE.TYPE</t>
  </si>
  <si>
    <t>T.PRE.CD</t>
  </si>
  <si>
    <t>T.PLBG.CNT</t>
  </si>
  <si>
    <t>T.PLBN.CNT</t>
  </si>
  <si>
    <t>T.COMNOTICE</t>
  </si>
  <si>
    <t>T.OD.ACCT.NO</t>
  </si>
  <si>
    <t>T.LN.GL.TERM</t>
  </si>
  <si>
    <t>T.INT.RATE.TP</t>
  </si>
  <si>
    <t>T.INT.RATE</t>
  </si>
  <si>
    <t>T.INT.SPRD</t>
  </si>
  <si>
    <t>T.FALLPROJ-1</t>
  </si>
  <si>
    <t>T.LNTYPE</t>
  </si>
  <si>
    <t>T.BATCH.NO</t>
  </si>
  <si>
    <t>T.MERCH.ID</t>
  </si>
  <si>
    <t>T.MERCH.BILL.AC</t>
  </si>
  <si>
    <t>T.MAX.TENOR.DD</t>
  </si>
  <si>
    <t>T.LNCA.END.DATE</t>
  </si>
  <si>
    <t>T.AVAIL.PERIOD</t>
  </si>
  <si>
    <t>T.LIMIT.PERIOD</t>
  </si>
  <si>
    <t>T.MARGIN.ACTNO-1</t>
  </si>
  <si>
    <t>T.ARTICLE.12OF1</t>
  </si>
  <si>
    <t>T.SBLC.ISSUE.CN</t>
  </si>
  <si>
    <t>T.72OF2.EXCLUDE</t>
  </si>
  <si>
    <t>T.JOIMGMAGR.NO</t>
  </si>
  <si>
    <t>T.REPAY.ACCT.2</t>
  </si>
  <si>
    <t>T.FIRST.LN.DT</t>
  </si>
  <si>
    <t>T.72OF2.FG</t>
  </si>
  <si>
    <t>T.EARLYPEN.DATA</t>
  </si>
  <si>
    <t>T.MARGIN.CURCD</t>
  </si>
  <si>
    <t>T.MARGIN.AMT</t>
  </si>
  <si>
    <t>T.SEC.LN</t>
  </si>
  <si>
    <t>T.DRWN.LAST.EDT</t>
  </si>
  <si>
    <t>T.AC.KEEP.MM</t>
  </si>
  <si>
    <t>T.GREEN.TYPE</t>
  </si>
  <si>
    <t>T.JCIC.ESG.NONE</t>
  </si>
  <si>
    <t>T.PURCHASE.LAND</t>
  </si>
  <si>
    <t>T.CONSTR.EXP.DT</t>
  </si>
  <si>
    <t>TmnLimitCurrency</t>
  </si>
  <si>
    <t>TmnApprovalDate</t>
  </si>
  <si>
    <t>TmnProposalDate</t>
  </si>
  <si>
    <t>TmnOnlineLimitDate</t>
  </si>
  <si>
    <t>TmnExpiryDate</t>
  </si>
  <si>
    <t>TOrigStartDt</t>
  </si>
  <si>
    <t>TLocExpDt</t>
  </si>
  <si>
    <t>TRevNonrev</t>
  </si>
  <si>
    <t>TmnInternalAmount</t>
  </si>
  <si>
    <t>TmnMaximumTotal</t>
  </si>
  <si>
    <t>TProcStatus</t>
  </si>
  <si>
    <t>TmnOnlineLimit</t>
  </si>
  <si>
    <t>TmnSubAllocTaken</t>
  </si>
  <si>
    <t>TmnSubAllocGiven</t>
  </si>
  <si>
    <t>TmnCommtAmtAvail</t>
  </si>
  <si>
    <t>TmnTotalOs</t>
  </si>
  <si>
    <t>TmnAvailAmt</t>
  </si>
  <si>
    <t>TmnSAlTknAmt</t>
  </si>
  <si>
    <t>TmnSAlGvnAmt</t>
  </si>
  <si>
    <t>TmnCommitmAmt</t>
  </si>
  <si>
    <t>TmnOsAmt</t>
  </si>
  <si>
    <t>TmnAvailableMarker</t>
  </si>
  <si>
    <t>TCaseChar</t>
  </si>
  <si>
    <t>TCorpCust</t>
  </si>
  <si>
    <t>TDocuBra</t>
  </si>
  <si>
    <t>TDrawdown</t>
  </si>
  <si>
    <t>TFundPur</t>
  </si>
  <si>
    <t>TLimitStatus</t>
  </si>
  <si>
    <t>TLnMainAcNo</t>
  </si>
  <si>
    <t>TLoanPur</t>
  </si>
  <si>
    <t>TLocAcct</t>
  </si>
  <si>
    <t>TLocAppr</t>
  </si>
  <si>
    <t>TLocRisk</t>
  </si>
  <si>
    <t>TMaxTenorMm</t>
  </si>
  <si>
    <t>TSecType</t>
  </si>
  <si>
    <t>TFinType</t>
  </si>
  <si>
    <t>TmnUnutilAcct</t>
  </si>
  <si>
    <t>TmnAllowUnutilCr</t>
  </si>
  <si>
    <t>TCommEndDt</t>
  </si>
  <si>
    <t>TmnReducingLimit</t>
  </si>
  <si>
    <t>TmnFxOrTimeBand</t>
  </si>
  <si>
    <t>TmnNotes</t>
  </si>
  <si>
    <t>TAo</t>
  </si>
  <si>
    <t>TOtherAo</t>
  </si>
  <si>
    <t>TGroupId</t>
  </si>
  <si>
    <t>TShiftLimit</t>
  </si>
  <si>
    <t>THouseLimit</t>
  </si>
  <si>
    <t>TShiftReason</t>
  </si>
  <si>
    <t>TShiftRsnDt</t>
  </si>
  <si>
    <t>TShiftMaxAmt</t>
  </si>
  <si>
    <t>TShiftMinAmt</t>
  </si>
  <si>
    <t>TShiftNusAmt</t>
  </si>
  <si>
    <t>TShiftNotes</t>
  </si>
  <si>
    <t>TExtenChgPct</t>
  </si>
  <si>
    <t>TExtenChgAmt</t>
  </si>
  <si>
    <t>TExtenMax</t>
  </si>
  <si>
    <t>TExtenNumber</t>
  </si>
  <si>
    <t>TExtenType</t>
  </si>
  <si>
    <t>TExtenStatus</t>
  </si>
  <si>
    <t>TExtenMark</t>
  </si>
  <si>
    <t>TExtenRundt</t>
  </si>
  <si>
    <t>TExtenFreq</t>
  </si>
  <si>
    <t>TLoanApp</t>
  </si>
  <si>
    <t>TLoanSeq</t>
  </si>
  <si>
    <t>TCertAcqDt</t>
  </si>
  <si>
    <t>TControl</t>
  </si>
  <si>
    <t>TDocuStatus</t>
  </si>
  <si>
    <t>TCompenId</t>
  </si>
  <si>
    <t>TComCode</t>
  </si>
  <si>
    <t>TCompenAmt</t>
  </si>
  <si>
    <t>TGpEnterprise</t>
  </si>
  <si>
    <t>TJointMgmt</t>
  </si>
  <si>
    <t>TVehCodeDt</t>
  </si>
  <si>
    <t>TVehicleCode</t>
  </si>
  <si>
    <t>TEntrCode</t>
  </si>
  <si>
    <t>TReHAgent</t>
  </si>
  <si>
    <t>TInsurcerDt</t>
  </si>
  <si>
    <t>TSmegMarker</t>
  </si>
  <si>
    <t>TBdLiabSell</t>
  </si>
  <si>
    <t>TFeNego</t>
  </si>
  <si>
    <t>TCustcertGuar</t>
  </si>
  <si>
    <t>TGovsubsidyT</t>
  </si>
  <si>
    <t>TReStaffCode</t>
  </si>
  <si>
    <t>TGuarEndDt</t>
  </si>
  <si>
    <t>TProjectId</t>
  </si>
  <si>
    <t>TProjRev</t>
  </si>
  <si>
    <t>TProjReas</t>
  </si>
  <si>
    <t>TOrigId</t>
  </si>
  <si>
    <t>TPrerollrevDt</t>
  </si>
  <si>
    <t>TJointMgmPer</t>
  </si>
  <si>
    <t>TGroupUnit</t>
  </si>
  <si>
    <t>TCollEntDt</t>
  </si>
  <si>
    <t>TCollOrg</t>
  </si>
  <si>
    <t>TFaxAgr</t>
  </si>
  <si>
    <t>TLiabNego</t>
  </si>
  <si>
    <t>TResourceA</t>
  </si>
  <si>
    <t>TOdEvents</t>
  </si>
  <si>
    <t>TOperRate</t>
  </si>
  <si>
    <t>TBathslnCd</t>
  </si>
  <si>
    <t>TFinSubtype</t>
  </si>
  <si>
    <t>TJoimgmagrDt</t>
  </si>
  <si>
    <t>TJcicMarker</t>
  </si>
  <si>
    <t>TCertSchDt</t>
  </si>
  <si>
    <t>TLimmgmBra</t>
  </si>
  <si>
    <t>TRepayAcct</t>
  </si>
  <si>
    <t>TDpAcno</t>
  </si>
  <si>
    <t>TSpouseId</t>
  </si>
  <si>
    <t>TSpouseName</t>
  </si>
  <si>
    <t>TGetinsuDt</t>
  </si>
  <si>
    <t>TLbType</t>
  </si>
  <si>
    <t>TLbGcnt</t>
  </si>
  <si>
    <t>TLbNcnt</t>
  </si>
  <si>
    <t>TLbAcode</t>
  </si>
  <si>
    <t>T12of1</t>
  </si>
  <si>
    <t>TLawsFg</t>
  </si>
  <si>
    <t>TPreType</t>
  </si>
  <si>
    <t>TPreCd</t>
  </si>
  <si>
    <t>TPlbgCnt</t>
  </si>
  <si>
    <t>TPlbnCnt</t>
  </si>
  <si>
    <t>TComnotice</t>
  </si>
  <si>
    <t>TGuaraType</t>
  </si>
  <si>
    <t>TOdAcctNo</t>
  </si>
  <si>
    <t>TLnGlTerm</t>
  </si>
  <si>
    <t>TIntRateTp</t>
  </si>
  <si>
    <t>TIntRate</t>
  </si>
  <si>
    <t>TIntKey</t>
  </si>
  <si>
    <t>TIntSprd</t>
  </si>
  <si>
    <t>TDiscRtTp</t>
  </si>
  <si>
    <t>TRefBiKey</t>
  </si>
  <si>
    <t>TCardApramt</t>
  </si>
  <si>
    <t>TCardPayamt</t>
  </si>
  <si>
    <t>TFallproj</t>
  </si>
  <si>
    <t>TOrgUsdAmt</t>
  </si>
  <si>
    <t>TOrgTrnFlag</t>
  </si>
  <si>
    <t>TDayendAmt</t>
  </si>
  <si>
    <t>TOdPayprPct</t>
  </si>
  <si>
    <t>TLntype</t>
  </si>
  <si>
    <t>TEntGrpno</t>
  </si>
  <si>
    <t>TBatchNo</t>
  </si>
  <si>
    <t>TMerchId</t>
  </si>
  <si>
    <t>TMerchBillAc</t>
  </si>
  <si>
    <t>TMaxTenorDd</t>
  </si>
  <si>
    <t>TLncaEndDate</t>
  </si>
  <si>
    <t>TAvailPeriod</t>
  </si>
  <si>
    <t>TLimitPeriod</t>
  </si>
  <si>
    <t>TMarginActno</t>
  </si>
  <si>
    <t>TArticle12of1</t>
  </si>
  <si>
    <t>TSblcIssueCn</t>
  </si>
  <si>
    <t>T72of2Exclude</t>
  </si>
  <si>
    <t>TJoimgmagrNo</t>
  </si>
  <si>
    <t>TRepayAcct2</t>
  </si>
  <si>
    <t>TFaSellId</t>
  </si>
  <si>
    <t>TFaSellFg</t>
  </si>
  <si>
    <t>TFaBuyId</t>
  </si>
  <si>
    <t>TFaBuyFg</t>
  </si>
  <si>
    <t>TFaBuyAmt</t>
  </si>
  <si>
    <t>TAcqAmt</t>
  </si>
  <si>
    <t>TAcqPct</t>
  </si>
  <si>
    <t>TAcqCalType</t>
  </si>
  <si>
    <t>TFirstLnDt</t>
  </si>
  <si>
    <t>TOnlineContra</t>
  </si>
  <si>
    <t>T72of2Fg</t>
  </si>
  <si>
    <t>TEarlypenData</t>
  </si>
  <si>
    <t>TMarginCurcd</t>
  </si>
  <si>
    <t>TMarginAmt</t>
  </si>
  <si>
    <t>TSecLn</t>
  </si>
  <si>
    <t>TDrwnLastEdt</t>
  </si>
  <si>
    <t>TAcKeepMm</t>
  </si>
  <si>
    <t>TGreenType</t>
  </si>
  <si>
    <t>TJcicEsgType</t>
  </si>
  <si>
    <t>TJcicEsgNone</t>
  </si>
  <si>
    <t>TPurchaseLand</t>
  </si>
  <si>
    <t>TConstrActDt</t>
  </si>
  <si>
    <t>TmnOverride</t>
  </si>
  <si>
    <t>TmnRecordStatus</t>
  </si>
  <si>
    <t>TmnCurrNo</t>
  </si>
  <si>
    <t>TmnInputter</t>
  </si>
  <si>
    <t>TmnDateTime</t>
  </si>
  <si>
    <t>TmnAuthoriser</t>
  </si>
  <si>
    <t>TmnCoCode</t>
  </si>
  <si>
    <t>TmnDeptCode</t>
  </si>
  <si>
    <t>11R</t>
  </si>
  <si>
    <t>8R</t>
  </si>
  <si>
    <t>19R</t>
  </si>
  <si>
    <t>20R</t>
  </si>
  <si>
    <t>14L</t>
  </si>
  <si>
    <t>16R</t>
  </si>
  <si>
    <t>2L</t>
  </si>
  <si>
    <t>32L</t>
  </si>
  <si>
    <t>19L</t>
  </si>
  <si>
    <t>2R</t>
  </si>
  <si>
    <t>5L</t>
  </si>
  <si>
    <t>7L</t>
  </si>
  <si>
    <t>019L</t>
  </si>
  <si>
    <t>002L</t>
  </si>
  <si>
    <t>15L</t>
  </si>
  <si>
    <t>8L</t>
  </si>
  <si>
    <t>65L</t>
  </si>
  <si>
    <t>003L</t>
  </si>
  <si>
    <t></t>
  </si>
  <si>
    <t xml:space="preserve">Y _x000D_
N </t>
  </si>
  <si>
    <t>Y Yes</t>
  </si>
  <si>
    <t>EB.LOOKUP&gt;T.CASE.CHAR*</t>
  </si>
  <si>
    <t></t>
  </si>
  <si>
    <t xml:space="preserve">0 _x000D_
1 _x000D_
2 </t>
  </si>
  <si>
    <t></t>
  </si>
  <si>
    <t>0 New_x000D_
1 Close old and create new_x000D_
2 Extension_x000D_
3 Foreign Loan/LC change to TWD_x000D_
4 O/A Loan</t>
  </si>
  <si>
    <t>EB.LOOKUP&gt;T.FUND.PUR*</t>
  </si>
  <si>
    <t xml:space="preserve">0 _x000D_
1 </t>
  </si>
  <si>
    <t>EB.LOOKUP&gt;T.LOAN.PUR*</t>
  </si>
  <si>
    <t xml:space="preserve">1 _x000D_
2 _x000D_
3 </t>
  </si>
  <si>
    <t></t>
  </si>
  <si>
    <t xml:space="preserve">0 _x000D_
1 _x000D_
2 _x000D_
3 _x000D_
4 _x000D_
9 </t>
  </si>
  <si>
    <t>EB.LOOKUP&gt;T.SHIFT.REASON*</t>
  </si>
  <si>
    <t>EB.LOOKUP&gt;T.EXTEN.STATUS*</t>
  </si>
  <si>
    <t>0 _x000D_
1 _x000D_
2 _x000D_
3 _x000D_
4 SYSTEM USE</t>
  </si>
  <si>
    <t>N NO_x000D_
Y YES</t>
  </si>
  <si>
    <t>EB.LOOKUP&gt;T.GP.ENTERPRISE*</t>
  </si>
  <si>
    <t xml:space="preserve">1 _x000D_
2 </t>
  </si>
  <si>
    <t>EB.LOOKUP&gt;T.RE.H.AGENT*</t>
  </si>
  <si>
    <t>0 No_x000D_
1 Agree_x000D_
2 Disagree</t>
  </si>
  <si>
    <t>EB.LOOKUP&gt;T.FE.NEGO*</t>
  </si>
  <si>
    <t>EB.LOOKUP&gt;T.GOVSUBSIDY.T*</t>
  </si>
  <si>
    <t>EB.LOOKUP&gt;T.PROJ.REAS*</t>
  </si>
  <si>
    <t></t>
  </si>
  <si>
    <t xml:space="preserve">710 _x000D_
720 _x000D_
730 _x000D_
740 </t>
  </si>
  <si>
    <t xml:space="preserve">0 _x000D_
1 _x000D_
2 _x000D_
3 _x000D_
4 </t>
  </si>
  <si>
    <t>EB.LOOKUP&gt;T.RESOURCE.A*</t>
  </si>
  <si>
    <t>EB.LOOKUP&gt;T.OD.EVENTS*</t>
  </si>
  <si>
    <t>EB.LOOKUP&gt;T.FIN.SUBTYPE*</t>
  </si>
  <si>
    <t></t>
  </si>
  <si>
    <t>054 Acceptance_x000D_
058 Negotiation_x000D_
059 Clean Bill Purchase_x000D_
060 BANK Non-Secured overdraft_x000D_
061 BANK Secured overdraft_x000D_
062 Non-Secured overdraft_x000D_
064 Secured overdraft_x000D_
066 short term loan_x000D_
068 short term security loan_x000D_
070 middle term loan_x000D_
072 middle term security loan_x000D_
075 long term loan_x000D_
076 long term security loan_x000D_
082 guarantee_x000D_
083 Letter Of Credit_x000D_
084 Refinance-CN_x000D_
085 Refinance-OTR_x000D_
090 Factoring_x000D_
091 AR Finance</t>
  </si>
  <si>
    <t>00 Fixed_x000D_
99 Floating</t>
  </si>
  <si>
    <r>
      <t xml:space="preserve">01 Frequency_x000D_
02 Amount_x000D_
00 </t>
    </r>
    <r>
      <rPr>
        <sz val="10"/>
        <color theme="1"/>
        <rFont val="細明體"/>
        <family val="3"/>
        <charset val="136"/>
      </rPr>
      <t>不優惠</t>
    </r>
  </si>
  <si>
    <t>EB.LOOKUP&gt;T.FALLPROJ*</t>
  </si>
  <si>
    <t>EB.LOOKUP&gt;T.LNTYPE*</t>
  </si>
  <si>
    <t>0 N_x000D_
1 Y_x000D_
2 Deduction - RISK_x000D_
3 Deduction - TRADE</t>
  </si>
  <si>
    <t></t>
  </si>
  <si>
    <t>0 No_x000D_
1 Business plant loans_x000D_
2 Enterprise construction loans_x000D_
3 Home Improvement_x000D_
4 Building Reconstruction_x000D_
5 Building school loans_x000D_
6 Building hospital loans_x000D_
7 Building gov loans_x000D_
8 Building long term care loans_x000D_
9 Building social residence loans_x000D_
10 Building factory loans_x000D_
11 Building urban renew loans_x000D_
12 Building public construction loans_x000D_
13 Building factory loans unau</t>
  </si>
  <si>
    <t xml:space="preserve">0 _x000D_
1 _x000D_
2 _x000D_
9 </t>
  </si>
  <si>
    <t xml:space="preserve">0 _x000D_
1 _x000D_
2 _x000D_
3 _x000D_
4 _x000D_
5 </t>
  </si>
  <si>
    <t>XX-</t>
  </si>
  <si>
    <t>XX-XX&lt;</t>
  </si>
  <si>
    <t>XX-XX&gt;</t>
  </si>
  <si>
    <t>TimeCodes</t>
    <phoneticPr fontId="4" type="noConversion"/>
  </si>
  <si>
    <t>TmnSAlTknCcy</t>
    <phoneticPr fontId="4" type="noConversion"/>
  </si>
  <si>
    <t>TimeCodes TmnSAlTknCcys</t>
    <phoneticPr fontId="4" type="noConversion"/>
  </si>
  <si>
    <t>TmnSAlGvnCcy</t>
    <phoneticPr fontId="4" type="noConversion"/>
  </si>
  <si>
    <t>TimeCodes TmnSAlGvnCcys</t>
    <phoneticPr fontId="4" type="noConversion"/>
  </si>
  <si>
    <t>TmnCommitmCcy</t>
    <phoneticPr fontId="4" type="noConversion"/>
  </si>
  <si>
    <t>TimeCodes TmnCommitmCcys</t>
    <phoneticPr fontId="4" type="noConversion"/>
  </si>
  <si>
    <t>TmnOsCcy</t>
    <phoneticPr fontId="4" type="noConversion"/>
  </si>
  <si>
    <t>TimeCodes TmnOsCcys</t>
    <phoneticPr fontId="4" type="noConversion"/>
  </si>
  <si>
    <t>TLocApprs</t>
    <phoneticPr fontId="4" type="noConversion"/>
  </si>
  <si>
    <t>TmnNotess</t>
    <phoneticPr fontId="4" type="noConversion"/>
  </si>
  <si>
    <t>TGroupIds</t>
    <phoneticPr fontId="4" type="noConversion"/>
  </si>
  <si>
    <t>TProjReass</t>
    <phoneticPr fontId="4" type="noConversion"/>
  </si>
  <si>
    <t>Tfallprojs</t>
    <phoneticPr fontId="4" type="noConversion"/>
  </si>
  <si>
    <t>TmnOverrides</t>
    <phoneticPr fontId="4" type="noConversion"/>
  </si>
  <si>
    <t>TmnInputters</t>
    <phoneticPr fontId="4" type="noConversion"/>
  </si>
  <si>
    <t>TmnDateTimes</t>
    <phoneticPr fontId="4" type="noConversion"/>
  </si>
  <si>
    <t>curr number</t>
  </si>
  <si>
    <t>DATE TIME</t>
  </si>
  <si>
    <t>BRANCH CODE</t>
  </si>
  <si>
    <t>DEPARTMENT CODE</t>
  </si>
  <si>
    <t>T.LOC.EXP.DT</t>
    <phoneticPr fontId="4" type="noConversion"/>
  </si>
  <si>
    <t>ONLINE.LIMIT-1</t>
    <phoneticPr fontId="4" type="noConversion"/>
  </si>
  <si>
    <t>SUB.ALLOC.TAKEN-1</t>
    <phoneticPr fontId="4" type="noConversion"/>
  </si>
  <si>
    <t>COMMT.AMT.AVAIL-1</t>
    <phoneticPr fontId="4" type="noConversion"/>
  </si>
  <si>
    <r>
      <rPr>
        <b/>
        <sz val="11"/>
        <rFont val="微軟正黑體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微軟正黑體"/>
        <family val="2"/>
        <charset val="136"/>
      </rPr>
      <t>英文</t>
    </r>
    <r>
      <rPr>
        <b/>
        <sz val="11"/>
        <rFont val="Calibri"/>
        <family val="2"/>
      </rPr>
      <t>)</t>
    </r>
    <phoneticPr fontId="4" type="noConversion"/>
  </si>
  <si>
    <r>
      <rPr>
        <sz val="11"/>
        <color theme="1"/>
        <rFont val="細明體"/>
        <family val="3"/>
        <charset val="136"/>
      </rPr>
      <t>幣別</t>
    </r>
  </si>
  <si>
    <r>
      <rPr>
        <sz val="11"/>
        <color theme="1"/>
        <rFont val="細明體"/>
        <family val="3"/>
        <charset val="136"/>
      </rPr>
      <t>原始額度起日</t>
    </r>
  </si>
  <si>
    <r>
      <rPr>
        <sz val="11"/>
        <color theme="1"/>
        <rFont val="細明體"/>
        <family val="3"/>
        <charset val="136"/>
      </rPr>
      <t>額度起日</t>
    </r>
  </si>
  <si>
    <r>
      <rPr>
        <sz val="11"/>
        <color theme="1"/>
        <rFont val="細明體"/>
        <family val="3"/>
        <charset val="136"/>
      </rPr>
      <t>登錄日</t>
    </r>
  </si>
  <si>
    <r>
      <rPr>
        <sz val="11"/>
        <color theme="1"/>
        <rFont val="細明體"/>
        <family val="3"/>
        <charset val="136"/>
      </rPr>
      <t>核心額度到期日</t>
    </r>
  </si>
  <si>
    <r>
      <rPr>
        <sz val="11"/>
        <color theme="1"/>
        <rFont val="細明體"/>
        <family val="3"/>
        <charset val="136"/>
      </rPr>
      <t>核准日</t>
    </r>
  </si>
  <si>
    <r>
      <rPr>
        <sz val="11"/>
        <color theme="1"/>
        <rFont val="細明體"/>
        <family val="3"/>
        <charset val="136"/>
      </rPr>
      <t>到期日</t>
    </r>
  </si>
  <si>
    <r>
      <rPr>
        <sz val="11"/>
        <color theme="1"/>
        <rFont val="細明體"/>
        <family val="3"/>
        <charset val="136"/>
      </rPr>
      <t>循環額度</t>
    </r>
  </si>
  <si>
    <r>
      <rPr>
        <sz val="11"/>
        <color theme="1"/>
        <rFont val="細明體"/>
        <family val="3"/>
        <charset val="136"/>
      </rPr>
      <t>核准額度</t>
    </r>
  </si>
  <si>
    <r>
      <rPr>
        <sz val="11"/>
        <color theme="1"/>
        <rFont val="細明體"/>
        <family val="3"/>
        <charset val="136"/>
      </rPr>
      <t>最大可用額度</t>
    </r>
    <phoneticPr fontId="4" type="noConversion"/>
  </si>
  <si>
    <r>
      <rPr>
        <sz val="11"/>
        <color theme="1"/>
        <rFont val="細明體"/>
        <family val="3"/>
        <charset val="136"/>
      </rPr>
      <t>授權記號</t>
    </r>
    <phoneticPr fontId="4" type="noConversion"/>
  </si>
  <si>
    <r>
      <rPr>
        <sz val="11"/>
        <color theme="1"/>
        <rFont val="細明體"/>
        <family val="3"/>
        <charset val="136"/>
      </rPr>
      <t>流用額度</t>
    </r>
    <r>
      <rPr>
        <sz val="11"/>
        <color theme="1"/>
        <rFont val="Calibri"/>
        <family val="2"/>
      </rPr>
      <t>-</t>
    </r>
    <r>
      <rPr>
        <sz val="11"/>
        <color theme="1"/>
        <rFont val="細明體"/>
        <family val="3"/>
        <charset val="136"/>
      </rPr>
      <t>流入金額</t>
    </r>
    <phoneticPr fontId="4" type="noConversion"/>
  </si>
  <si>
    <r>
      <rPr>
        <sz val="11"/>
        <color theme="1"/>
        <rFont val="細明體"/>
        <family val="3"/>
        <charset val="136"/>
      </rPr>
      <t>流用額度</t>
    </r>
    <r>
      <rPr>
        <sz val="11"/>
        <color theme="1"/>
        <rFont val="Calibri"/>
        <family val="2"/>
      </rPr>
      <t>-</t>
    </r>
    <r>
      <rPr>
        <sz val="11"/>
        <color theme="1"/>
        <rFont val="細明體"/>
        <family val="3"/>
        <charset val="136"/>
      </rPr>
      <t>流出金額</t>
    </r>
    <phoneticPr fontId="4" type="noConversion"/>
  </si>
  <si>
    <r>
      <rPr>
        <sz val="11"/>
        <color theme="1"/>
        <rFont val="細明體"/>
        <family val="3"/>
        <charset val="136"/>
      </rPr>
      <t>承諾額度可用金額</t>
    </r>
    <phoneticPr fontId="4" type="noConversion"/>
  </si>
  <si>
    <r>
      <rPr>
        <sz val="11"/>
        <color theme="1"/>
        <rFont val="細明體"/>
        <family val="3"/>
        <charset val="136"/>
      </rPr>
      <t>授信餘額</t>
    </r>
  </si>
  <si>
    <r>
      <rPr>
        <sz val="11"/>
        <color theme="1"/>
        <rFont val="細明體"/>
        <family val="3"/>
        <charset val="136"/>
      </rPr>
      <t>可用餘額</t>
    </r>
  </si>
  <si>
    <r>
      <rPr>
        <sz val="11"/>
        <color theme="1"/>
        <rFont val="細明體"/>
        <family val="3"/>
        <charset val="136"/>
      </rPr>
      <t>流用額度</t>
    </r>
    <r>
      <rPr>
        <sz val="11"/>
        <color theme="1"/>
        <rFont val="Calibri"/>
        <family val="2"/>
      </rPr>
      <t>-</t>
    </r>
    <r>
      <rPr>
        <sz val="11"/>
        <color theme="1"/>
        <rFont val="細明體"/>
        <family val="3"/>
        <charset val="136"/>
      </rPr>
      <t>流入幣別</t>
    </r>
    <phoneticPr fontId="4" type="noConversion"/>
  </si>
  <si>
    <r>
      <rPr>
        <sz val="11"/>
        <color theme="1"/>
        <rFont val="細明體"/>
        <family val="3"/>
        <charset val="136"/>
      </rPr>
      <t>流用額度</t>
    </r>
    <r>
      <rPr>
        <sz val="11"/>
        <color theme="1"/>
        <rFont val="Calibri"/>
        <family val="2"/>
      </rPr>
      <t>-</t>
    </r>
    <r>
      <rPr>
        <sz val="11"/>
        <color theme="1"/>
        <rFont val="細明體"/>
        <family val="3"/>
        <charset val="136"/>
      </rPr>
      <t>流入原幣金額</t>
    </r>
    <phoneticPr fontId="4" type="noConversion"/>
  </si>
  <si>
    <r>
      <rPr>
        <sz val="11"/>
        <color theme="1"/>
        <rFont val="細明體"/>
        <family val="3"/>
        <charset val="136"/>
      </rPr>
      <t>流用額度</t>
    </r>
    <r>
      <rPr>
        <sz val="11"/>
        <color theme="1"/>
        <rFont val="Calibri"/>
        <family val="2"/>
      </rPr>
      <t>-</t>
    </r>
    <r>
      <rPr>
        <sz val="11"/>
        <color theme="1"/>
        <rFont val="細明體"/>
        <family val="3"/>
        <charset val="136"/>
      </rPr>
      <t>流出幣別金額</t>
    </r>
    <phoneticPr fontId="4" type="noConversion"/>
  </si>
  <si>
    <r>
      <rPr>
        <sz val="11"/>
        <color theme="1"/>
        <rFont val="細明體"/>
        <family val="3"/>
        <charset val="136"/>
      </rPr>
      <t>流用額度</t>
    </r>
    <r>
      <rPr>
        <sz val="11"/>
        <color theme="1"/>
        <rFont val="Calibri"/>
        <family val="2"/>
      </rPr>
      <t>-</t>
    </r>
    <r>
      <rPr>
        <sz val="11"/>
        <color theme="1"/>
        <rFont val="細明體"/>
        <family val="3"/>
        <charset val="136"/>
      </rPr>
      <t>流出原幣金額</t>
    </r>
    <phoneticPr fontId="4" type="noConversion"/>
  </si>
  <si>
    <r>
      <rPr>
        <sz val="11"/>
        <color theme="1"/>
        <rFont val="細明體"/>
        <family val="3"/>
        <charset val="136"/>
      </rPr>
      <t>承諾額度幣別</t>
    </r>
    <phoneticPr fontId="4" type="noConversion"/>
  </si>
  <si>
    <r>
      <rPr>
        <sz val="11"/>
        <color theme="1"/>
        <rFont val="細明體"/>
        <family val="3"/>
        <charset val="136"/>
      </rPr>
      <t>承諾額度原幣可用金額</t>
    </r>
    <phoneticPr fontId="4" type="noConversion"/>
  </si>
  <si>
    <r>
      <rPr>
        <sz val="11"/>
        <color theme="1"/>
        <rFont val="細明體"/>
        <family val="3"/>
        <charset val="136"/>
      </rPr>
      <t>授信幣別</t>
    </r>
    <phoneticPr fontId="4" type="noConversion"/>
  </si>
  <si>
    <r>
      <rPr>
        <sz val="11"/>
        <color theme="1"/>
        <rFont val="細明體"/>
        <family val="3"/>
        <charset val="136"/>
      </rPr>
      <t>原幣餘額</t>
    </r>
    <phoneticPr fontId="4" type="noConversion"/>
  </si>
  <si>
    <r>
      <rPr>
        <sz val="11"/>
        <color theme="1"/>
        <rFont val="細明體"/>
        <family val="3"/>
        <charset val="136"/>
      </rPr>
      <t>額度有效記號</t>
    </r>
  </si>
  <si>
    <r>
      <rPr>
        <sz val="11"/>
        <color theme="1"/>
        <rFont val="細明體"/>
        <family val="3"/>
        <charset val="136"/>
      </rPr>
      <t>案件性質</t>
    </r>
  </si>
  <si>
    <r>
      <rPr>
        <sz val="11"/>
        <color theme="1"/>
        <rFont val="細明體"/>
        <family val="3"/>
        <charset val="136"/>
      </rPr>
      <t>企金客戶記號</t>
    </r>
  </si>
  <si>
    <r>
      <rPr>
        <sz val="11"/>
        <color theme="1"/>
        <rFont val="細明體"/>
        <family val="3"/>
        <charset val="136"/>
      </rPr>
      <t>文件保管行</t>
    </r>
  </si>
  <si>
    <r>
      <rPr>
        <sz val="11"/>
        <color theme="1"/>
        <rFont val="細明體"/>
        <family val="3"/>
        <charset val="136"/>
      </rPr>
      <t>撥款註記</t>
    </r>
  </si>
  <si>
    <r>
      <rPr>
        <sz val="11"/>
        <color theme="1"/>
        <rFont val="細明體"/>
        <family val="3"/>
        <charset val="136"/>
      </rPr>
      <t>資金用途</t>
    </r>
  </si>
  <si>
    <r>
      <rPr>
        <sz val="11"/>
        <color theme="1"/>
        <rFont val="細明體"/>
        <family val="3"/>
        <charset val="136"/>
      </rPr>
      <t>額度狀態</t>
    </r>
  </si>
  <si>
    <r>
      <rPr>
        <sz val="11"/>
        <color theme="1"/>
        <rFont val="細明體"/>
        <family val="3"/>
        <charset val="136"/>
      </rPr>
      <t>放款帳號</t>
    </r>
  </si>
  <si>
    <r>
      <rPr>
        <sz val="11"/>
        <color theme="1"/>
        <rFont val="細明體"/>
        <family val="3"/>
        <charset val="136"/>
      </rPr>
      <t>貸款用途</t>
    </r>
  </si>
  <si>
    <r>
      <rPr>
        <sz val="11"/>
        <color theme="1"/>
        <rFont val="細明體"/>
        <family val="3"/>
        <charset val="136"/>
      </rPr>
      <t>放款業務人員</t>
    </r>
  </si>
  <si>
    <r>
      <rPr>
        <sz val="11"/>
        <color theme="1"/>
        <rFont val="細明體"/>
        <family val="3"/>
        <charset val="136"/>
      </rPr>
      <t>授信委員</t>
    </r>
    <r>
      <rPr>
        <sz val="11"/>
        <color theme="1"/>
        <rFont val="Calibri"/>
        <family val="2"/>
      </rPr>
      <t>(MULTI)</t>
    </r>
  </si>
  <si>
    <r>
      <rPr>
        <sz val="11"/>
        <color theme="1"/>
        <rFont val="細明體"/>
        <family val="3"/>
        <charset val="136"/>
      </rPr>
      <t>徵信人員</t>
    </r>
  </si>
  <si>
    <r>
      <rPr>
        <sz val="11"/>
        <color theme="1"/>
        <rFont val="細明體"/>
        <family val="3"/>
        <charset val="136"/>
      </rPr>
      <t>貸放期限</t>
    </r>
  </si>
  <si>
    <r>
      <rPr>
        <sz val="11"/>
        <color theme="1"/>
        <rFont val="細明體"/>
        <family val="3"/>
        <charset val="136"/>
      </rPr>
      <t>績效行</t>
    </r>
  </si>
  <si>
    <r>
      <rPr>
        <sz val="11"/>
        <color theme="1"/>
        <rFont val="細明體"/>
        <family val="3"/>
        <charset val="136"/>
      </rPr>
      <t>合約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>動撥到期日</t>
    </r>
  </si>
  <si>
    <r>
      <rPr>
        <sz val="11"/>
        <color theme="1"/>
        <rFont val="細明體"/>
        <family val="3"/>
        <charset val="136"/>
      </rPr>
      <t>備</t>
    </r>
    <r>
      <rPr>
        <sz val="11"/>
        <color theme="1"/>
        <rFont val="Calibri"/>
        <family val="2"/>
      </rPr>
      <t xml:space="preserve">    </t>
    </r>
    <r>
      <rPr>
        <sz val="11"/>
        <color theme="1"/>
        <rFont val="細明體"/>
        <family val="3"/>
        <charset val="136"/>
      </rPr>
      <t>註</t>
    </r>
  </si>
  <si>
    <r>
      <rPr>
        <sz val="11"/>
        <color theme="1"/>
        <rFont val="細明體"/>
        <family val="3"/>
        <charset val="136"/>
      </rPr>
      <t>經管</t>
    </r>
    <r>
      <rPr>
        <sz val="11"/>
        <color theme="1"/>
        <rFont val="Calibri"/>
        <family val="2"/>
      </rPr>
      <t>AO</t>
    </r>
  </si>
  <si>
    <r>
      <rPr>
        <sz val="11"/>
        <color theme="1"/>
        <rFont val="細明體"/>
        <family val="3"/>
        <charset val="136"/>
      </rPr>
      <t>單位經理</t>
    </r>
  </si>
  <si>
    <r>
      <rPr>
        <sz val="11"/>
        <color theme="1"/>
        <rFont val="細明體"/>
        <family val="3"/>
        <charset val="136"/>
      </rPr>
      <t>合控</t>
    </r>
    <r>
      <rPr>
        <sz val="11"/>
        <color theme="1"/>
        <rFont val="Calibri"/>
        <family val="2"/>
      </rPr>
      <t>ID</t>
    </r>
  </si>
  <si>
    <r>
      <rPr>
        <sz val="11"/>
        <color theme="1"/>
        <rFont val="細明體"/>
        <family val="3"/>
        <charset val="136"/>
      </rPr>
      <t>回復子額度號碼</t>
    </r>
  </si>
  <si>
    <r>
      <rPr>
        <sz val="11"/>
        <color theme="1"/>
        <rFont val="細明體"/>
        <family val="3"/>
        <charset val="136"/>
      </rPr>
      <t>回復主額度</t>
    </r>
  </si>
  <si>
    <r>
      <rPr>
        <sz val="11"/>
        <color theme="1"/>
        <rFont val="細明體"/>
        <family val="3"/>
        <charset val="136"/>
      </rPr>
      <t>回復原因</t>
    </r>
  </si>
  <si>
    <r>
      <rPr>
        <sz val="11"/>
        <color theme="1"/>
        <rFont val="細明體"/>
        <family val="3"/>
        <charset val="136"/>
      </rPr>
      <t>回復原因日期</t>
    </r>
  </si>
  <si>
    <r>
      <rPr>
        <sz val="11"/>
        <color theme="1"/>
        <rFont val="細明體"/>
        <family val="3"/>
        <charset val="136"/>
      </rPr>
      <t>回復上限</t>
    </r>
  </si>
  <si>
    <r>
      <rPr>
        <sz val="11"/>
        <color theme="1"/>
        <rFont val="細明體"/>
        <family val="3"/>
        <charset val="136"/>
      </rPr>
      <t>回復起點</t>
    </r>
  </si>
  <si>
    <r>
      <rPr>
        <sz val="11"/>
        <color theme="1"/>
        <rFont val="細明體"/>
        <family val="3"/>
        <charset val="136"/>
      </rPr>
      <t>不可回復金額</t>
    </r>
  </si>
  <si>
    <r>
      <rPr>
        <sz val="11"/>
        <color theme="1"/>
        <rFont val="細明體"/>
        <family val="3"/>
        <charset val="136"/>
      </rPr>
      <t>回復註記</t>
    </r>
  </si>
  <si>
    <r>
      <rPr>
        <sz val="11"/>
        <color theme="1"/>
        <rFont val="細明體"/>
        <family val="3"/>
        <charset val="136"/>
      </rPr>
      <t>收費比率</t>
    </r>
    <r>
      <rPr>
        <sz val="11"/>
        <color theme="1"/>
        <rFont val="Calibri"/>
        <family val="2"/>
      </rPr>
      <t xml:space="preserve"> </t>
    </r>
  </si>
  <si>
    <r>
      <rPr>
        <sz val="11"/>
        <color theme="1"/>
        <rFont val="細明體"/>
        <family val="3"/>
        <charset val="136"/>
      </rPr>
      <t>收費金額</t>
    </r>
    <r>
      <rPr>
        <sz val="11"/>
        <color theme="1"/>
        <rFont val="Calibri"/>
        <family val="2"/>
      </rPr>
      <t xml:space="preserve"> </t>
    </r>
  </si>
  <si>
    <r>
      <rPr>
        <sz val="11"/>
        <color theme="1"/>
        <rFont val="細明體"/>
        <family val="3"/>
        <charset val="136"/>
      </rPr>
      <t>約展次數</t>
    </r>
  </si>
  <si>
    <r>
      <rPr>
        <sz val="11"/>
        <color theme="1"/>
        <rFont val="細明體"/>
        <family val="3"/>
        <charset val="136"/>
      </rPr>
      <t>已展次數</t>
    </r>
  </si>
  <si>
    <r>
      <rPr>
        <sz val="11"/>
        <color theme="1"/>
        <rFont val="細明體"/>
        <family val="3"/>
        <charset val="136"/>
      </rPr>
      <t>展期方式</t>
    </r>
  </si>
  <si>
    <r>
      <rPr>
        <sz val="11"/>
        <color theme="1"/>
        <rFont val="細明體"/>
        <family val="3"/>
        <charset val="136"/>
      </rPr>
      <t>展期型態</t>
    </r>
  </si>
  <si>
    <r>
      <rPr>
        <sz val="11"/>
        <color theme="1"/>
        <rFont val="細明體"/>
        <family val="3"/>
        <charset val="136"/>
      </rPr>
      <t>展期記號</t>
    </r>
  </si>
  <si>
    <r>
      <rPr>
        <sz val="11"/>
        <color theme="1"/>
        <rFont val="細明體"/>
        <family val="3"/>
        <charset val="136"/>
      </rPr>
      <t>展期執行日期</t>
    </r>
  </si>
  <si>
    <r>
      <rPr>
        <sz val="11"/>
        <color theme="1"/>
        <rFont val="細明體"/>
        <family val="3"/>
        <charset val="136"/>
      </rPr>
      <t>展期週期</t>
    </r>
  </si>
  <si>
    <r>
      <rPr>
        <sz val="11"/>
        <color theme="1"/>
        <rFont val="細明體"/>
        <family val="3"/>
        <charset val="136"/>
      </rPr>
      <t>核准文號</t>
    </r>
  </si>
  <si>
    <r>
      <rPr>
        <sz val="11"/>
        <color theme="1"/>
        <rFont val="細明體"/>
        <family val="3"/>
        <charset val="136"/>
      </rPr>
      <t>核貸書額度序號</t>
    </r>
  </si>
  <si>
    <r>
      <rPr>
        <sz val="11"/>
        <color theme="1"/>
        <rFont val="細明體"/>
        <family val="3"/>
        <charset val="136"/>
      </rPr>
      <t>已取得謄本日</t>
    </r>
  </si>
  <si>
    <r>
      <rPr>
        <sz val="11"/>
        <color theme="1"/>
        <rFont val="細明體"/>
        <family val="3"/>
        <charset val="136"/>
      </rPr>
      <t>中控記號</t>
    </r>
  </si>
  <si>
    <r>
      <rPr>
        <sz val="11"/>
        <color theme="1"/>
        <rFont val="細明體"/>
        <family val="3"/>
        <charset val="136"/>
      </rPr>
      <t>文件傳送狀態</t>
    </r>
  </si>
  <si>
    <r>
      <rPr>
        <sz val="11"/>
        <color theme="1"/>
        <rFont val="細明體"/>
        <family val="3"/>
        <charset val="136"/>
      </rPr>
      <t>代償戶</t>
    </r>
  </si>
  <si>
    <r>
      <rPr>
        <sz val="11"/>
        <color theme="1"/>
        <rFont val="細明體"/>
        <family val="3"/>
        <charset val="136"/>
      </rPr>
      <t>代償行庫代號</t>
    </r>
    <r>
      <rPr>
        <sz val="11"/>
        <color theme="1"/>
        <rFont val="Calibri"/>
        <family val="2"/>
      </rPr>
      <t xml:space="preserve"> </t>
    </r>
  </si>
  <si>
    <r>
      <rPr>
        <sz val="11"/>
        <color theme="1"/>
        <rFont val="細明體"/>
        <family val="3"/>
        <charset val="136"/>
      </rPr>
      <t>代償金額</t>
    </r>
  </si>
  <si>
    <r>
      <rPr>
        <sz val="11"/>
        <color theme="1"/>
        <rFont val="細明體"/>
        <family val="3"/>
        <charset val="136"/>
      </rPr>
      <t>企業團代號</t>
    </r>
  </si>
  <si>
    <r>
      <rPr>
        <sz val="11"/>
        <color theme="1"/>
        <rFont val="細明體"/>
        <family val="3"/>
        <charset val="136"/>
      </rPr>
      <t>共同主辦</t>
    </r>
  </si>
  <si>
    <r>
      <rPr>
        <sz val="11"/>
        <color theme="1"/>
        <rFont val="細明體"/>
        <family val="3"/>
        <charset val="136"/>
      </rPr>
      <t>車牌取得日期</t>
    </r>
  </si>
  <si>
    <r>
      <rPr>
        <sz val="11"/>
        <color theme="1"/>
        <rFont val="細明體"/>
        <family val="3"/>
        <charset val="136"/>
      </rPr>
      <t>車牌號碼</t>
    </r>
  </si>
  <si>
    <r>
      <rPr>
        <sz val="11"/>
        <color theme="1"/>
        <rFont val="細明體"/>
        <family val="3"/>
        <charset val="136"/>
      </rPr>
      <t>委外行銷代號</t>
    </r>
  </si>
  <si>
    <r>
      <rPr>
        <sz val="11"/>
        <color theme="1"/>
        <rFont val="細明體"/>
        <family val="3"/>
        <charset val="136"/>
      </rPr>
      <t>業務來源</t>
    </r>
    <r>
      <rPr>
        <sz val="11"/>
        <color theme="1"/>
        <rFont val="Calibri"/>
        <family val="2"/>
      </rPr>
      <t>-</t>
    </r>
    <r>
      <rPr>
        <sz val="11"/>
        <color theme="1"/>
        <rFont val="細明體"/>
        <family val="3"/>
        <charset val="136"/>
      </rPr>
      <t>房屋仲介公司</t>
    </r>
  </si>
  <si>
    <r>
      <rPr>
        <sz val="11"/>
        <color theme="1"/>
        <rFont val="細明體"/>
        <family val="3"/>
        <charset val="136"/>
      </rPr>
      <t>保單預定取得日</t>
    </r>
  </si>
  <si>
    <r>
      <rPr>
        <sz val="11"/>
        <color theme="1"/>
        <rFont val="細明體"/>
        <family val="3"/>
        <charset val="136"/>
      </rPr>
      <t>信保註記</t>
    </r>
  </si>
  <si>
    <r>
      <rPr>
        <sz val="11"/>
        <color theme="1"/>
        <rFont val="細明體"/>
        <family val="3"/>
        <charset val="136"/>
      </rPr>
      <t>不良債權轉讓註記</t>
    </r>
  </si>
  <si>
    <r>
      <rPr>
        <sz val="11"/>
        <color theme="1"/>
        <rFont val="細明體"/>
        <family val="3"/>
        <charset val="136"/>
      </rPr>
      <t>前置協商註記</t>
    </r>
  </si>
  <si>
    <r>
      <rPr>
        <sz val="11"/>
        <color theme="1"/>
        <rFont val="細明體"/>
        <family val="3"/>
        <charset val="136"/>
      </rPr>
      <t>徵提客票</t>
    </r>
  </si>
  <si>
    <r>
      <rPr>
        <sz val="11"/>
        <color theme="1"/>
        <rFont val="細明體"/>
        <family val="3"/>
        <charset val="136"/>
      </rPr>
      <t>政府專案補助貸款分類</t>
    </r>
  </si>
  <si>
    <r>
      <rPr>
        <sz val="11"/>
        <color theme="1"/>
        <rFont val="細明體"/>
        <family val="3"/>
        <charset val="136"/>
      </rPr>
      <t>業務來源</t>
    </r>
    <r>
      <rPr>
        <sz val="11"/>
        <color theme="1"/>
        <rFont val="Calibri"/>
        <family val="2"/>
      </rPr>
      <t>-</t>
    </r>
    <r>
      <rPr>
        <sz val="11"/>
        <color theme="1"/>
        <rFont val="細明體"/>
        <family val="3"/>
        <charset val="136"/>
      </rPr>
      <t>員工編號</t>
    </r>
  </si>
  <si>
    <r>
      <rPr>
        <sz val="11"/>
        <color theme="1"/>
        <rFont val="細明體"/>
        <family val="3"/>
        <charset val="136"/>
      </rPr>
      <t>動保止日</t>
    </r>
  </si>
  <si>
    <r>
      <rPr>
        <sz val="11"/>
        <color theme="1"/>
        <rFont val="細明體"/>
        <family val="3"/>
        <charset val="136"/>
      </rPr>
      <t>專案代號</t>
    </r>
  </si>
  <si>
    <r>
      <rPr>
        <sz val="11"/>
        <color theme="1"/>
        <rFont val="細明體"/>
        <family val="3"/>
        <charset val="136"/>
      </rPr>
      <t>專案批覆記號</t>
    </r>
  </si>
  <si>
    <r>
      <rPr>
        <sz val="11"/>
        <color theme="1"/>
        <rFont val="細明體"/>
        <family val="3"/>
        <charset val="136"/>
      </rPr>
      <t>專案批覆原因</t>
    </r>
    <r>
      <rPr>
        <sz val="11"/>
        <color theme="1"/>
        <rFont val="Calibri"/>
        <family val="2"/>
      </rPr>
      <t>(MULTI)</t>
    </r>
  </si>
  <si>
    <r>
      <rPr>
        <sz val="11"/>
        <color theme="1"/>
        <rFont val="細明體"/>
        <family val="3"/>
        <charset val="136"/>
      </rPr>
      <t>透支帳號</t>
    </r>
  </si>
  <si>
    <r>
      <rPr>
        <sz val="11"/>
        <color theme="1"/>
        <rFont val="細明體"/>
        <family val="3"/>
        <charset val="136"/>
      </rPr>
      <t>最近覆審日期</t>
    </r>
  </si>
  <si>
    <r>
      <rPr>
        <sz val="11"/>
        <color theme="1"/>
        <rFont val="細明體"/>
        <family val="3"/>
        <charset val="136"/>
      </rPr>
      <t>集團代號</t>
    </r>
  </si>
  <si>
    <r>
      <rPr>
        <sz val="11"/>
        <color theme="1"/>
        <rFont val="細明體"/>
        <family val="3"/>
        <charset val="136"/>
      </rPr>
      <t>催收委案日期</t>
    </r>
  </si>
  <si>
    <r>
      <rPr>
        <sz val="11"/>
        <color theme="1"/>
        <rFont val="細明體"/>
        <family val="3"/>
        <charset val="136"/>
      </rPr>
      <t>催收單位</t>
    </r>
  </si>
  <si>
    <r>
      <rPr>
        <sz val="11"/>
        <color theme="1"/>
        <rFont val="細明體"/>
        <family val="3"/>
        <charset val="136"/>
      </rPr>
      <t>傳真交易約定</t>
    </r>
  </si>
  <si>
    <r>
      <rPr>
        <sz val="11"/>
        <color theme="1"/>
        <rFont val="細明體"/>
        <family val="3"/>
        <charset val="136"/>
      </rPr>
      <t>債務協商註記</t>
    </r>
  </si>
  <si>
    <r>
      <rPr>
        <sz val="11"/>
        <color theme="1"/>
        <rFont val="細明體"/>
        <family val="3"/>
        <charset val="136"/>
      </rPr>
      <t>業務來源</t>
    </r>
  </si>
  <si>
    <r>
      <rPr>
        <sz val="11"/>
        <color theme="1"/>
        <rFont val="細明體"/>
        <family val="3"/>
        <charset val="136"/>
      </rPr>
      <t>逾期事項</t>
    </r>
  </si>
  <si>
    <r>
      <rPr>
        <sz val="11"/>
        <color theme="1"/>
        <rFont val="細明體"/>
        <family val="3"/>
        <charset val="136"/>
      </rPr>
      <t>實際承作利率</t>
    </r>
  </si>
  <si>
    <r>
      <rPr>
        <sz val="11"/>
        <color theme="1"/>
        <rFont val="細明體"/>
        <family val="3"/>
        <charset val="136"/>
      </rPr>
      <t>整批房貸代號</t>
    </r>
  </si>
  <si>
    <r>
      <rPr>
        <sz val="11"/>
        <color theme="1"/>
        <rFont val="細明體"/>
        <family val="3"/>
        <charset val="136"/>
      </rPr>
      <t>融資業務分類</t>
    </r>
  </si>
  <si>
    <r>
      <rPr>
        <sz val="11"/>
        <color theme="1"/>
        <rFont val="細明體"/>
        <family val="3"/>
        <charset val="136"/>
      </rPr>
      <t>聯貸合約訂定日期</t>
    </r>
  </si>
  <si>
    <r>
      <rPr>
        <sz val="11"/>
        <color theme="1"/>
        <rFont val="細明體"/>
        <family val="3"/>
        <charset val="136"/>
      </rPr>
      <t>聯貸記號</t>
    </r>
  </si>
  <si>
    <r>
      <rPr>
        <sz val="11"/>
        <color theme="1"/>
        <rFont val="細明體"/>
        <family val="3"/>
        <charset val="136"/>
      </rPr>
      <t>謄本預定取得日</t>
    </r>
  </si>
  <si>
    <r>
      <rPr>
        <sz val="11"/>
        <color theme="1"/>
        <rFont val="細明體"/>
        <family val="3"/>
        <charset val="136"/>
      </rPr>
      <t>額度管理行</t>
    </r>
  </si>
  <si>
    <r>
      <rPr>
        <sz val="11"/>
        <color theme="1"/>
        <rFont val="細明體"/>
        <family val="3"/>
        <charset val="136"/>
      </rPr>
      <t>繳款帳號</t>
    </r>
  </si>
  <si>
    <r>
      <rPr>
        <sz val="11"/>
        <color theme="1"/>
        <rFont val="細明體"/>
        <family val="3"/>
        <charset val="136"/>
      </rPr>
      <t>存單號碼</t>
    </r>
  </si>
  <si>
    <r>
      <rPr>
        <sz val="11"/>
        <color theme="1"/>
        <rFont val="細明體"/>
        <family val="3"/>
        <charset val="136"/>
      </rPr>
      <t>配偶身份證號</t>
    </r>
  </si>
  <si>
    <r>
      <rPr>
        <sz val="11"/>
        <color theme="1"/>
        <rFont val="細明體"/>
        <family val="3"/>
        <charset val="136"/>
      </rPr>
      <t>配偶姓名</t>
    </r>
  </si>
  <si>
    <r>
      <rPr>
        <sz val="11"/>
        <color theme="1"/>
        <rFont val="細明體"/>
        <family val="3"/>
        <charset val="136"/>
      </rPr>
      <t>已取得保單日</t>
    </r>
  </si>
  <si>
    <r>
      <rPr>
        <sz val="11"/>
        <color theme="1"/>
        <rFont val="細明體"/>
        <family val="3"/>
        <charset val="136"/>
      </rPr>
      <t>未協商前履約狀態</t>
    </r>
  </si>
  <si>
    <r>
      <rPr>
        <sz val="11"/>
        <color theme="1"/>
        <rFont val="細明體"/>
        <family val="3"/>
        <charset val="136"/>
      </rPr>
      <t>連續履約狀態</t>
    </r>
  </si>
  <si>
    <r>
      <rPr>
        <sz val="11"/>
        <color theme="1"/>
        <rFont val="細明體"/>
        <family val="3"/>
        <charset val="136"/>
      </rPr>
      <t>未履約狀態</t>
    </r>
  </si>
  <si>
    <r>
      <rPr>
        <sz val="11"/>
        <color theme="1"/>
        <rFont val="細明體"/>
        <family val="3"/>
        <charset val="136"/>
      </rPr>
      <t>原資產分類</t>
    </r>
  </si>
  <si>
    <r>
      <t xml:space="preserve">12-1 </t>
    </r>
    <r>
      <rPr>
        <sz val="11"/>
        <color theme="1"/>
        <rFont val="細明體"/>
        <family val="3"/>
        <charset val="136"/>
      </rPr>
      <t>通知函註記</t>
    </r>
    <r>
      <rPr>
        <sz val="11"/>
        <color theme="1"/>
        <rFont val="Calibri"/>
        <family val="2"/>
      </rPr>
      <t xml:space="preserve"> </t>
    </r>
  </si>
  <si>
    <r>
      <rPr>
        <sz val="11"/>
        <color theme="1"/>
        <rFont val="細明體"/>
        <family val="3"/>
        <charset val="136"/>
      </rPr>
      <t>訴追記號</t>
    </r>
    <r>
      <rPr>
        <sz val="11"/>
        <color theme="1"/>
        <rFont val="Calibri"/>
        <family val="2"/>
      </rPr>
      <t xml:space="preserve"> </t>
    </r>
  </si>
  <si>
    <r>
      <rPr>
        <sz val="11"/>
        <color theme="1"/>
        <rFont val="細明體"/>
        <family val="3"/>
        <charset val="136"/>
      </rPr>
      <t>前置協商狀態</t>
    </r>
    <r>
      <rPr>
        <sz val="11"/>
        <color theme="1"/>
        <rFont val="Calibri"/>
        <family val="2"/>
      </rPr>
      <t xml:space="preserve"> </t>
    </r>
  </si>
  <si>
    <r>
      <rPr>
        <sz val="11"/>
        <color theme="1"/>
        <rFont val="細明體"/>
        <family val="3"/>
        <charset val="136"/>
      </rPr>
      <t>申請前置協商時逾催狀態</t>
    </r>
    <r>
      <rPr>
        <sz val="11"/>
        <color theme="1"/>
        <rFont val="Calibri"/>
        <family val="2"/>
      </rPr>
      <t xml:space="preserve"> </t>
    </r>
  </si>
  <si>
    <r>
      <rPr>
        <sz val="11"/>
        <color theme="1"/>
        <rFont val="細明體"/>
        <family val="3"/>
        <charset val="136"/>
      </rPr>
      <t>前置協商履約期數</t>
    </r>
    <r>
      <rPr>
        <sz val="11"/>
        <color theme="1"/>
        <rFont val="Calibri"/>
        <family val="2"/>
      </rPr>
      <t xml:space="preserve"> </t>
    </r>
  </si>
  <si>
    <r>
      <rPr>
        <sz val="11"/>
        <color theme="1"/>
        <rFont val="細明體"/>
        <family val="3"/>
        <charset val="136"/>
      </rPr>
      <t>前置協商未履約期數</t>
    </r>
    <r>
      <rPr>
        <sz val="11"/>
        <color theme="1"/>
        <rFont val="Calibri"/>
        <family val="2"/>
      </rPr>
      <t xml:space="preserve"> </t>
    </r>
  </si>
  <si>
    <r>
      <rPr>
        <sz val="11"/>
        <color theme="1"/>
        <rFont val="細明體"/>
        <family val="3"/>
        <charset val="136"/>
      </rPr>
      <t>本票共同發票人通知函</t>
    </r>
    <r>
      <rPr>
        <sz val="11"/>
        <color theme="1"/>
        <rFont val="Calibri"/>
        <family val="2"/>
      </rPr>
      <t xml:space="preserve"> </t>
    </r>
  </si>
  <si>
    <r>
      <rPr>
        <sz val="11"/>
        <color theme="1"/>
        <rFont val="細明體"/>
        <family val="3"/>
        <charset val="136"/>
      </rPr>
      <t>進行中標會</t>
    </r>
  </si>
  <si>
    <r>
      <rPr>
        <sz val="11"/>
        <color theme="1"/>
        <rFont val="細明體"/>
        <family val="3"/>
        <charset val="136"/>
      </rPr>
      <t>授權人員</t>
    </r>
  </si>
  <si>
    <r>
      <rPr>
        <sz val="11"/>
        <color theme="1"/>
        <rFont val="細明體"/>
        <family val="3"/>
        <charset val="136"/>
      </rPr>
      <t>貸放期限</t>
    </r>
    <r>
      <rPr>
        <sz val="11"/>
        <color theme="1"/>
        <rFont val="Calibri"/>
        <family val="2"/>
      </rPr>
      <t>-</t>
    </r>
    <r>
      <rPr>
        <sz val="11"/>
        <color theme="1"/>
        <rFont val="細明體"/>
        <family val="3"/>
        <charset val="136"/>
      </rPr>
      <t>天</t>
    </r>
  </si>
  <si>
    <r>
      <rPr>
        <sz val="11"/>
        <color theme="1"/>
        <rFont val="細明體"/>
        <family val="3"/>
        <charset val="136"/>
      </rPr>
      <t>核貸書到期日</t>
    </r>
  </si>
  <si>
    <r>
      <rPr>
        <sz val="11"/>
        <color theme="1"/>
        <rFont val="細明體"/>
        <family val="3"/>
        <charset val="136"/>
      </rPr>
      <t>可動用期限</t>
    </r>
  </si>
  <si>
    <r>
      <rPr>
        <sz val="11"/>
        <color theme="1"/>
        <rFont val="細明體"/>
        <family val="3"/>
        <charset val="136"/>
      </rPr>
      <t>額度期間</t>
    </r>
  </si>
  <si>
    <r>
      <rPr>
        <sz val="11"/>
        <color theme="1"/>
        <rFont val="細明體"/>
        <family val="3"/>
        <charset val="136"/>
      </rPr>
      <t>保證金帳號</t>
    </r>
  </si>
  <si>
    <r>
      <t>12</t>
    </r>
    <r>
      <rPr>
        <sz val="11"/>
        <color theme="1"/>
        <rFont val="細明體"/>
        <family val="3"/>
        <charset val="136"/>
      </rPr>
      <t>條之</t>
    </r>
    <r>
      <rPr>
        <sz val="11"/>
        <color theme="1"/>
        <rFont val="Calibri"/>
        <family val="2"/>
      </rPr>
      <t>1</t>
    </r>
  </si>
  <si>
    <r>
      <rPr>
        <sz val="11"/>
        <color theme="1"/>
        <rFont val="細明體"/>
        <family val="3"/>
        <charset val="136"/>
      </rPr>
      <t>內保外貸</t>
    </r>
  </si>
  <si>
    <r>
      <rPr>
        <sz val="11"/>
        <color theme="1"/>
        <rFont val="細明體"/>
        <family val="3"/>
        <charset val="136"/>
      </rPr>
      <t>免列報</t>
    </r>
    <r>
      <rPr>
        <sz val="11"/>
        <color theme="1"/>
        <rFont val="Calibri"/>
        <family val="2"/>
      </rPr>
      <t>72-2</t>
    </r>
  </si>
  <si>
    <r>
      <rPr>
        <sz val="11"/>
        <color theme="1"/>
        <rFont val="細明體"/>
        <family val="3"/>
        <charset val="136"/>
      </rPr>
      <t>聯貸案號</t>
    </r>
  </si>
  <si>
    <r>
      <rPr>
        <sz val="11"/>
        <color theme="1"/>
        <rFont val="細明體"/>
        <family val="3"/>
        <charset val="136"/>
      </rPr>
      <t>列報</t>
    </r>
    <r>
      <rPr>
        <sz val="11"/>
        <color theme="1"/>
        <rFont val="Calibri"/>
        <family val="2"/>
      </rPr>
      <t>72-2</t>
    </r>
  </si>
  <si>
    <r>
      <rPr>
        <sz val="11"/>
        <color theme="1"/>
        <rFont val="細明體"/>
        <family val="3"/>
        <charset val="136"/>
      </rPr>
      <t>提前解約金相關資訊</t>
    </r>
  </si>
  <si>
    <r>
      <rPr>
        <sz val="11"/>
        <color theme="1"/>
        <rFont val="細明體"/>
        <family val="3"/>
        <charset val="136"/>
      </rPr>
      <t>授信最晚到期日</t>
    </r>
  </si>
  <si>
    <r>
      <rPr>
        <sz val="11"/>
        <color theme="1"/>
        <rFont val="細明體"/>
        <family val="3"/>
        <charset val="136"/>
      </rPr>
      <t>備償本金保留月數</t>
    </r>
    <r>
      <rPr>
        <sz val="11"/>
        <color theme="1"/>
        <rFont val="Calibri"/>
        <family val="2"/>
      </rPr>
      <t>#</t>
    </r>
    <r>
      <rPr>
        <sz val="11"/>
        <color theme="1"/>
        <rFont val="細明體"/>
        <family val="3"/>
        <charset val="136"/>
      </rPr>
      <t>備償利息保留月數</t>
    </r>
  </si>
  <si>
    <r>
      <rPr>
        <sz val="11"/>
        <color theme="1"/>
        <rFont val="細明體"/>
        <family val="3"/>
        <charset val="136"/>
      </rPr>
      <t>版號</t>
    </r>
  </si>
  <si>
    <r>
      <rPr>
        <sz val="11"/>
        <color theme="1"/>
        <rFont val="細明體"/>
        <family val="3"/>
        <charset val="136"/>
      </rPr>
      <t>輸入人員</t>
    </r>
  </si>
  <si>
    <r>
      <rPr>
        <sz val="11"/>
        <color theme="1"/>
        <rFont val="細明體"/>
        <family val="3"/>
        <charset val="136"/>
      </rPr>
      <t>交易時間</t>
    </r>
  </si>
  <si>
    <r>
      <rPr>
        <sz val="11"/>
        <color theme="1"/>
        <rFont val="細明體"/>
        <family val="3"/>
        <charset val="136"/>
      </rPr>
      <t>分行別</t>
    </r>
  </si>
  <si>
    <r>
      <rPr>
        <sz val="11"/>
        <color theme="1"/>
        <rFont val="細明體"/>
        <family val="3"/>
        <charset val="136"/>
      </rPr>
      <t>部門代碼</t>
    </r>
  </si>
  <si>
    <t>帳務科目</t>
    <phoneticPr fontId="4" type="noConversion"/>
  </si>
  <si>
    <t>Project affected households</t>
    <phoneticPr fontId="4" type="noConversion"/>
  </si>
  <si>
    <t>政府補助子分類</t>
    <phoneticPr fontId="4" type="noConversion"/>
  </si>
  <si>
    <t>首次額度動撥日</t>
    <phoneticPr fontId="4" type="noConversion"/>
  </si>
  <si>
    <t>綠色支出類別</t>
    <phoneticPr fontId="4" type="noConversion"/>
  </si>
  <si>
    <t>T.JCIC.ESG.TYPE</t>
    <phoneticPr fontId="4" type="noConversion"/>
  </si>
  <si>
    <t>永續績效連結授信類別</t>
    <phoneticPr fontId="4" type="noConversion"/>
  </si>
  <si>
    <t>T.CONSTR.ACT.DT</t>
    <phoneticPr fontId="4" type="noConversion"/>
  </si>
  <si>
    <t>實際動工日期</t>
    <phoneticPr fontId="4" type="noConversion"/>
  </si>
  <si>
    <t>約定動工日期</t>
    <phoneticPr fontId="4" type="noConversion"/>
  </si>
  <si>
    <t>購地貸款註記</t>
    <phoneticPr fontId="4" type="noConversion"/>
  </si>
  <si>
    <t>永續績效連結授信約定全部未達成通報</t>
    <phoneticPr fontId="4" type="noConversion"/>
  </si>
  <si>
    <t>Environmental social governance NTE</t>
    <phoneticPr fontId="4" type="noConversion"/>
  </si>
  <si>
    <t>Environmental social governance TYPE</t>
    <phoneticPr fontId="4" type="noConversion"/>
  </si>
  <si>
    <t>股權融資</t>
    <phoneticPr fontId="4" type="noConversion"/>
  </si>
  <si>
    <t>保證金金額</t>
    <phoneticPr fontId="4" type="noConversion"/>
  </si>
  <si>
    <t>T.ONLINE.CONTRA</t>
    <phoneticPr fontId="4" type="noConversion"/>
  </si>
  <si>
    <t>線上成立契約</t>
    <phoneticPr fontId="4" type="noConversion"/>
  </si>
  <si>
    <t>T.ACQ.CAL.TYPE</t>
    <phoneticPr fontId="4" type="noConversion"/>
  </si>
  <si>
    <t>承保餘額計算方式</t>
    <phoneticPr fontId="4" type="noConversion"/>
  </si>
  <si>
    <t>T.ACQ.PCT</t>
    <phoneticPr fontId="4" type="noConversion"/>
  </si>
  <si>
    <t>購理賠成數</t>
    <phoneticPr fontId="4" type="noConversion"/>
  </si>
  <si>
    <t>T.ACQ.AMT</t>
    <phoneticPr fontId="4" type="noConversion"/>
  </si>
  <si>
    <t>T.FA.BUY.AMT</t>
    <phoneticPr fontId="4" type="noConversion"/>
  </si>
  <si>
    <t>佔用金額</t>
    <phoneticPr fontId="4" type="noConversion"/>
  </si>
  <si>
    <t>T.FA.BUY.FG</t>
    <phoneticPr fontId="4" type="noConversion"/>
  </si>
  <si>
    <t>買方額度流用記號</t>
    <phoneticPr fontId="4" type="noConversion"/>
  </si>
  <si>
    <t>T.FA.BUY.ID</t>
    <phoneticPr fontId="4" type="noConversion"/>
  </si>
  <si>
    <r>
      <rPr>
        <sz val="11"/>
        <color theme="1"/>
        <rFont val="細明體"/>
        <family val="2"/>
        <charset val="136"/>
      </rPr>
      <t>佔用對象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2"/>
        <charset val="136"/>
      </rPr>
      <t>買方上限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2"/>
        <charset val="136"/>
      </rPr>
      <t>帳款管理商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2"/>
        <charset val="136"/>
      </rPr>
      <t>保險公司</t>
    </r>
    <r>
      <rPr>
        <sz val="11"/>
        <color theme="1"/>
        <rFont val="Calibri"/>
        <family val="2"/>
      </rPr>
      <t>)</t>
    </r>
    <phoneticPr fontId="4" type="noConversion"/>
  </si>
  <si>
    <t>T.FA.SELL.FG</t>
    <phoneticPr fontId="4" type="noConversion"/>
  </si>
  <si>
    <t>賣方額度流用記號</t>
    <phoneticPr fontId="4" type="noConversion"/>
  </si>
  <si>
    <t>T.FA.SELL.ID</t>
    <phoneticPr fontId="4" type="noConversion"/>
  </si>
  <si>
    <r>
      <rPr>
        <sz val="11"/>
        <color theme="1"/>
        <rFont val="細明體"/>
        <family val="2"/>
        <charset val="136"/>
      </rPr>
      <t>賣方公司合控</t>
    </r>
    <r>
      <rPr>
        <sz val="11"/>
        <color theme="1"/>
        <rFont val="Calibri"/>
        <family val="2"/>
      </rPr>
      <t>ID</t>
    </r>
    <phoneticPr fontId="4" type="noConversion"/>
  </si>
  <si>
    <t>特店請款帳號</t>
    <phoneticPr fontId="4" type="noConversion"/>
  </si>
  <si>
    <t>MERCH BILLING ACCOUNT</t>
    <phoneticPr fontId="4" type="noConversion"/>
  </si>
  <si>
    <t>特店代號</t>
    <phoneticPr fontId="4" type="noConversion"/>
  </si>
  <si>
    <t>業戶專案行銷集團批號</t>
    <phoneticPr fontId="4" type="noConversion"/>
  </si>
  <si>
    <t>ENT.PROJ.MARKETING GRP BCH.NO.</t>
    <phoneticPr fontId="4" type="noConversion"/>
  </si>
  <si>
    <t>T.ENT.GRPNO</t>
    <phoneticPr fontId="4" type="noConversion"/>
  </si>
  <si>
    <t>企業戶專案行銷集團代號</t>
    <phoneticPr fontId="4" type="noConversion"/>
  </si>
  <si>
    <t>ENT.PROJ.MARKETING GRP CODE</t>
    <phoneticPr fontId="4" type="noConversion"/>
  </si>
  <si>
    <t>放款類別</t>
    <phoneticPr fontId="4" type="noConversion"/>
  </si>
  <si>
    <t>Loan Type</t>
    <phoneticPr fontId="4" type="noConversion"/>
  </si>
  <si>
    <t>T.OD.PAYPR.PCT</t>
    <phoneticPr fontId="4" type="noConversion"/>
  </si>
  <si>
    <t>透支本金最低應繳比率</t>
    <phoneticPr fontId="4" type="noConversion"/>
  </si>
  <si>
    <t>OD.SIGL.LI.MIN.PAYPR</t>
    <phoneticPr fontId="4" type="noConversion"/>
  </si>
  <si>
    <t>T.DAYEND.AMT</t>
    <phoneticPr fontId="4" type="noConversion"/>
  </si>
  <si>
    <t>日終透支額度</t>
    <phoneticPr fontId="4" type="noConversion"/>
  </si>
  <si>
    <t>T.ORG.TRN.FLAG</t>
    <phoneticPr fontId="4" type="noConversion"/>
  </si>
  <si>
    <t>單一額度轉換記號</t>
    <phoneticPr fontId="4" type="noConversion"/>
  </si>
  <si>
    <t>T.ORG.USD.AMT</t>
    <phoneticPr fontId="4" type="noConversion"/>
  </si>
  <si>
    <t>T.CARD.PAYAMT</t>
    <phoneticPr fontId="4" type="noConversion"/>
  </si>
  <si>
    <t>Specifies CASH CARD repayment amt</t>
    <phoneticPr fontId="4" type="noConversion"/>
  </si>
  <si>
    <t>現金卡最低繳款金額</t>
    <phoneticPr fontId="4" type="noConversion"/>
  </si>
  <si>
    <t>T.CARD.APRAMT</t>
    <phoneticPr fontId="4" type="noConversion"/>
  </si>
  <si>
    <t>Specifies CASHCARD orig approve amt</t>
    <phoneticPr fontId="4" type="noConversion"/>
  </si>
  <si>
    <t>現金卡核准金額</t>
    <phoneticPr fontId="4" type="noConversion"/>
  </si>
  <si>
    <t>T.REF.BI.KEY</t>
    <phoneticPr fontId="4" type="noConversion"/>
  </si>
  <si>
    <t>Reference BI Key</t>
    <phoneticPr fontId="4" type="noConversion"/>
  </si>
  <si>
    <t>機動利率指標</t>
    <phoneticPr fontId="4" type="noConversion"/>
  </si>
  <si>
    <t>T.DISC.RT.TP</t>
    <phoneticPr fontId="4" type="noConversion"/>
  </si>
  <si>
    <t>Discount Rate Type</t>
    <phoneticPr fontId="4" type="noConversion"/>
  </si>
  <si>
    <t>Interest Spread</t>
    <phoneticPr fontId="4" type="noConversion"/>
  </si>
  <si>
    <t>利率差碼</t>
    <phoneticPr fontId="4" type="noConversion"/>
  </si>
  <si>
    <t>T.INT.KEY</t>
    <phoneticPr fontId="4" type="noConversion"/>
  </si>
  <si>
    <t>Interest Key</t>
    <phoneticPr fontId="4" type="noConversion"/>
  </si>
  <si>
    <t>Fixed Interest Rate</t>
    <phoneticPr fontId="4" type="noConversion"/>
  </si>
  <si>
    <t>利率</t>
    <phoneticPr fontId="4" type="noConversion"/>
  </si>
  <si>
    <t>Interest Rate Type</t>
  </si>
  <si>
    <t>利率調整方式</t>
    <phoneticPr fontId="4" type="noConversion"/>
  </si>
  <si>
    <t>OD Account No</t>
    <phoneticPr fontId="4" type="noConversion"/>
  </si>
  <si>
    <t>透支帳號</t>
    <phoneticPr fontId="4" type="noConversion"/>
  </si>
  <si>
    <t>T.GUARA.TYPE</t>
    <phoneticPr fontId="4" type="noConversion"/>
  </si>
  <si>
    <t>核心循環額度記號</t>
    <phoneticPr fontId="4" type="noConversion"/>
  </si>
  <si>
    <t>Currency</t>
    <phoneticPr fontId="4" type="noConversion"/>
  </si>
  <si>
    <t>Approve Date</t>
    <phoneticPr fontId="4" type="noConversion"/>
  </si>
  <si>
    <t>Proposal Date</t>
    <phoneticPr fontId="4" type="noConversion"/>
  </si>
  <si>
    <t>Expiry Date (core field)</t>
    <phoneticPr fontId="4" type="noConversion"/>
  </si>
  <si>
    <t>V</t>
    <phoneticPr fontId="4" type="noConversion"/>
  </si>
  <si>
    <t>V</t>
    <phoneticPr fontId="4" type="noConversion"/>
  </si>
  <si>
    <t>T.BR.SEQNO</t>
    <phoneticPr fontId="23" type="noConversion"/>
  </si>
  <si>
    <t>TI.CHNN.CODE</t>
    <phoneticPr fontId="23" type="noConversion"/>
  </si>
  <si>
    <t>TI.CHNN.CODE.S</t>
    <phoneticPr fontId="23" type="noConversion"/>
  </si>
  <si>
    <t>50L</t>
    <phoneticPr fontId="23" type="noConversion"/>
  </si>
  <si>
    <t>16L</t>
    <phoneticPr fontId="23" type="noConversion"/>
  </si>
  <si>
    <t>TBrSeqno</t>
    <phoneticPr fontId="23" type="noConversion"/>
  </si>
  <si>
    <t>TiChnnCode</t>
    <phoneticPr fontId="23" type="noConversion"/>
  </si>
  <si>
    <t>TiChnnCodeSrc</t>
    <phoneticPr fontId="23" type="noConversion"/>
  </si>
  <si>
    <t>交易序號</t>
    <phoneticPr fontId="4" type="noConversion"/>
  </si>
  <si>
    <t>交易來源系統代號</t>
    <phoneticPr fontId="4" type="noConversion"/>
  </si>
  <si>
    <t>交易系統代號</t>
    <phoneticPr fontId="4" type="noConversion"/>
  </si>
  <si>
    <t>Case character</t>
  </si>
  <si>
    <t>Enterprise customer flag</t>
  </si>
  <si>
    <t>Document branch code</t>
  </si>
  <si>
    <t>Drawdown flag</t>
  </si>
  <si>
    <t>Fund purpose</t>
  </si>
  <si>
    <t>Loan main account</t>
  </si>
  <si>
    <t>Loan purpose</t>
  </si>
  <si>
    <t>Loan sales staff</t>
  </si>
  <si>
    <t>Credit checker</t>
  </si>
  <si>
    <t>Account Officer</t>
  </si>
  <si>
    <t>extension maximum</t>
  </si>
  <si>
    <t>Extension number</t>
  </si>
  <si>
    <t>Extension type</t>
  </si>
  <si>
    <t>Extension status</t>
  </si>
  <si>
    <t>Extension marker</t>
  </si>
  <si>
    <t>Extension date</t>
  </si>
  <si>
    <t>Extension frequency</t>
  </si>
  <si>
    <t>Approve number of e-Loan</t>
  </si>
  <si>
    <t>The actual date of getting household transcripts</t>
  </si>
  <si>
    <t>Sending status of documents</t>
  </si>
  <si>
    <t>Compensatory ID</t>
  </si>
  <si>
    <t>Compensatory bank code</t>
  </si>
  <si>
    <t>Compensatory amount</t>
  </si>
  <si>
    <t>Enterprise group code</t>
  </si>
  <si>
    <t>The date of getting vehicle code</t>
  </si>
  <si>
    <t>Vehicle code</t>
  </si>
  <si>
    <t>Authorization marketing code</t>
  </si>
  <si>
    <t>Real estate agent</t>
  </si>
  <si>
    <t>Expect Date of getting insurance</t>
  </si>
  <si>
    <t>Mark of credit Insurance</t>
  </si>
  <si>
    <t>Bad liability transfer flag</t>
  </si>
  <si>
    <t>Pre-Negotiation flag</t>
  </si>
  <si>
    <t>Customer Check Sub-Guarantee</t>
  </si>
  <si>
    <t>Guarantee end date</t>
  </si>
  <si>
    <t>Project ID</t>
  </si>
  <si>
    <t>Flag of project review</t>
  </si>
  <si>
    <t>Original LD ID</t>
  </si>
  <si>
    <t>Last Review Day</t>
  </si>
  <si>
    <t>Collection end date</t>
  </si>
  <si>
    <t>Collection unit</t>
  </si>
  <si>
    <t>Debt Negotiation flag</t>
  </si>
  <si>
    <t>Business resource</t>
  </si>
  <si>
    <t>Overdue events</t>
  </si>
  <si>
    <t>actual operator rate</t>
  </si>
  <si>
    <t>Batch of house loan code</t>
  </si>
  <si>
    <t>Financing business type</t>
  </si>
  <si>
    <t>The expect date of getting household transcripts</t>
  </si>
  <si>
    <t>Linked deposited account</t>
  </si>
  <si>
    <t>Spouse ID</t>
  </si>
  <si>
    <t>Spouse name</t>
  </si>
  <si>
    <t>The actual date of getting insurance</t>
  </si>
  <si>
    <t>Notification letter of 12-1</t>
  </si>
  <si>
    <t>Notification letter for the co-checker</t>
  </si>
  <si>
    <t>article of 12-1</t>
  </si>
  <si>
    <t>Insured and External Loans</t>
  </si>
  <si>
    <t>Exemption from reporting of banking law 72-2</t>
  </si>
  <si>
    <t>Online contract formation</t>
  </si>
  <si>
    <t>Flag of green loan</t>
  </si>
  <si>
    <t>CHNN CODE</t>
    <phoneticPr fontId="4" type="noConversion"/>
  </si>
  <si>
    <t>Branch sequence number</t>
    <phoneticPr fontId="4" type="noConversion"/>
  </si>
  <si>
    <t>TConstrExpDt</t>
    <phoneticPr fontId="4" type="noConversion"/>
  </si>
  <si>
    <t>Constraction actual date</t>
    <phoneticPr fontId="4" type="noConversion"/>
  </si>
  <si>
    <t>Constraction expect date</t>
    <phoneticPr fontId="4" type="noConversion"/>
  </si>
  <si>
    <t>Flag of purchase land</t>
    <phoneticPr fontId="4" type="noConversion"/>
  </si>
  <si>
    <t>Define maximum loan tenor in months</t>
    <phoneticPr fontId="4" type="noConversion"/>
  </si>
  <si>
    <t>fax agreement</t>
    <phoneticPr fontId="4" type="noConversion"/>
  </si>
  <si>
    <t>Limit start date</t>
    <phoneticPr fontId="4" type="noConversion"/>
  </si>
  <si>
    <t>Limit  expiry Date</t>
    <phoneticPr fontId="4" type="noConversion"/>
  </si>
  <si>
    <t>Specify short/medium/long term loan</t>
  </si>
  <si>
    <t>Available available</t>
    <phoneticPr fontId="4" type="noConversion"/>
  </si>
  <si>
    <t>Total outstanding</t>
    <phoneticPr fontId="4" type="noConversion"/>
  </si>
  <si>
    <t>Suballocate limit for taken</t>
    <phoneticPr fontId="4" type="noConversion"/>
  </si>
  <si>
    <t>Suballocate limit for given</t>
    <phoneticPr fontId="4" type="noConversion"/>
  </si>
  <si>
    <t>Online limit</t>
    <phoneticPr fontId="4" type="noConversion"/>
  </si>
  <si>
    <t>Authorise flag</t>
    <phoneticPr fontId="4" type="noConversion"/>
  </si>
  <si>
    <t>Maximum limit</t>
    <phoneticPr fontId="4" type="noConversion"/>
  </si>
  <si>
    <t>Approval amount</t>
    <phoneticPr fontId="4" type="noConversion"/>
  </si>
  <si>
    <t>Non revolving mark</t>
    <phoneticPr fontId="4" type="noConversion"/>
  </si>
  <si>
    <t>Online limit date</t>
    <phoneticPr fontId="4" type="noConversion"/>
  </si>
  <si>
    <t>Suballocate limit for taken currency</t>
    <phoneticPr fontId="4" type="noConversion"/>
  </si>
  <si>
    <t>Suballocate limit for taken amount</t>
    <phoneticPr fontId="4" type="noConversion"/>
  </si>
  <si>
    <t>Suballocate limit for given currency</t>
    <phoneticPr fontId="4" type="noConversion"/>
  </si>
  <si>
    <t>Suballocate limit for given  amount</t>
    <phoneticPr fontId="4" type="noConversion"/>
  </si>
  <si>
    <t>Commitment available amount</t>
    <phoneticPr fontId="4" type="noConversion"/>
  </si>
  <si>
    <t>Commitment limit amount</t>
    <phoneticPr fontId="4" type="noConversion"/>
  </si>
  <si>
    <t>Commitment limit currency</t>
    <phoneticPr fontId="4" type="noConversion"/>
  </si>
  <si>
    <t>Outstanding currency</t>
    <phoneticPr fontId="4" type="noConversion"/>
  </si>
  <si>
    <t>Original currency outstanding</t>
    <phoneticPr fontId="4" type="noConversion"/>
  </si>
  <si>
    <t>Available marker</t>
    <phoneticPr fontId="4" type="noConversion"/>
  </si>
  <si>
    <t>Limit status</t>
    <phoneticPr fontId="4" type="noConversion"/>
  </si>
  <si>
    <t>Credit Committee</t>
    <phoneticPr fontId="4" type="noConversion"/>
  </si>
  <si>
    <t>擔保狀態</t>
    <phoneticPr fontId="4" type="noConversion"/>
  </si>
  <si>
    <t>融資種類</t>
    <phoneticPr fontId="4" type="noConversion"/>
  </si>
  <si>
    <t>Financing type</t>
    <phoneticPr fontId="4" type="noConversion"/>
  </si>
  <si>
    <t>Guarantee status</t>
    <phoneticPr fontId="4" type="noConversion"/>
  </si>
  <si>
    <t>Contract expiry Date</t>
    <phoneticPr fontId="4" type="noConversion"/>
  </si>
  <si>
    <t>Revolving flag for T24</t>
    <phoneticPr fontId="4" type="noConversion"/>
  </si>
  <si>
    <t>Note</t>
    <phoneticPr fontId="4" type="noConversion"/>
  </si>
  <si>
    <t>Group limit ID</t>
    <phoneticPr fontId="4" type="noConversion"/>
  </si>
  <si>
    <t>Restore sub-limit number</t>
    <phoneticPr fontId="4" type="noConversion"/>
  </si>
  <si>
    <t>Restore the master limit</t>
    <phoneticPr fontId="4" type="noConversion"/>
  </si>
  <si>
    <t>Restore reason</t>
    <phoneticPr fontId="4" type="noConversion"/>
  </si>
  <si>
    <t>Date of restore reason</t>
    <phoneticPr fontId="4" type="noConversion"/>
  </si>
  <si>
    <t>Restore limit</t>
    <phoneticPr fontId="4" type="noConversion"/>
  </si>
  <si>
    <t>Restore starting point</t>
    <phoneticPr fontId="4" type="noConversion"/>
  </si>
  <si>
    <t>Unrecoverable amount</t>
    <phoneticPr fontId="4" type="noConversion"/>
  </si>
  <si>
    <t>Recover flag</t>
    <phoneticPr fontId="4" type="noConversion"/>
  </si>
  <si>
    <t>Charge amount</t>
    <phoneticPr fontId="4" type="noConversion"/>
  </si>
  <si>
    <t>Charge ratio</t>
    <phoneticPr fontId="4" type="noConversion"/>
  </si>
  <si>
    <t>Serial Number of loan approval</t>
    <phoneticPr fontId="4" type="noConversion"/>
  </si>
  <si>
    <t>Control flag</t>
    <phoneticPr fontId="4" type="noConversion"/>
  </si>
  <si>
    <t>Co-hosting of syndicated lending</t>
    <phoneticPr fontId="4" type="noConversion"/>
  </si>
  <si>
    <t>Government project assistance loan category</t>
    <phoneticPr fontId="4" type="noConversion"/>
  </si>
  <si>
    <t>Business resource-employee number</t>
    <phoneticPr fontId="4" type="noConversion"/>
  </si>
  <si>
    <t>Reason of project review</t>
    <phoneticPr fontId="4" type="noConversion"/>
  </si>
  <si>
    <t>貸參貸比例</t>
    <phoneticPr fontId="4" type="noConversion"/>
  </si>
  <si>
    <t>The ratio of join syndicated lending</t>
    <phoneticPr fontId="4" type="noConversion"/>
  </si>
  <si>
    <t>Group code</t>
    <phoneticPr fontId="4" type="noConversion"/>
  </si>
  <si>
    <t>Date of signing contract gor join syndicated lending</t>
    <phoneticPr fontId="4" type="noConversion"/>
  </si>
  <si>
    <t>Flag of syndicated lending</t>
    <phoneticPr fontId="4" type="noConversion"/>
  </si>
  <si>
    <t>Limit management bank</t>
    <phoneticPr fontId="4" type="noConversion"/>
  </si>
  <si>
    <t>Repayment account</t>
    <phoneticPr fontId="4" type="noConversion"/>
  </si>
  <si>
    <t>Performance status before negotiation</t>
    <phoneticPr fontId="4" type="noConversion"/>
  </si>
  <si>
    <t>Continuous performance status</t>
    <phoneticPr fontId="4" type="noConversion"/>
  </si>
  <si>
    <t>Non-performance status</t>
    <phoneticPr fontId="4" type="noConversion"/>
  </si>
  <si>
    <t>Original asset classification</t>
    <phoneticPr fontId="4" type="noConversion"/>
  </si>
  <si>
    <t>Lawsuit flag</t>
    <phoneticPr fontId="4" type="noConversion"/>
  </si>
  <si>
    <t>Pre-Negotiation status</t>
    <phoneticPr fontId="4" type="noConversion"/>
  </si>
  <si>
    <t>Case number of syndicated lending</t>
    <phoneticPr fontId="4" type="noConversion"/>
  </si>
  <si>
    <t>Repayment account 2</t>
    <phoneticPr fontId="4" type="noConversion"/>
  </si>
  <si>
    <t>Application for pre-negotiation when more than reminder status</t>
    <phoneticPr fontId="4" type="noConversion"/>
  </si>
  <si>
    <t>Number of pre-negotiated performance periods</t>
    <phoneticPr fontId="4" type="noConversion"/>
  </si>
  <si>
    <t>Predetermined Number of Agreements Outstanding</t>
    <phoneticPr fontId="4" type="noConversion"/>
  </si>
  <si>
    <t>原始美金額度</t>
    <phoneticPr fontId="4" type="noConversion"/>
  </si>
  <si>
    <t>Original USD amount</t>
    <phoneticPr fontId="4" type="noConversion"/>
  </si>
  <si>
    <t>Single credit conversion mark</t>
    <phoneticPr fontId="4" type="noConversion"/>
  </si>
  <si>
    <t>Limit of day end for overdraft</t>
    <phoneticPr fontId="4" type="noConversion"/>
  </si>
  <si>
    <t>Special shop code</t>
    <phoneticPr fontId="4" type="noConversion"/>
  </si>
  <si>
    <t>Define maximum loan tenor in days</t>
    <phoneticPr fontId="4" type="noConversion"/>
  </si>
  <si>
    <t>The latest expiration date of the credit</t>
    <phoneticPr fontId="4" type="noConversion"/>
  </si>
  <si>
    <t>Keep amount for principal in account #Keep amount for interest in  account(Number of months)</t>
    <phoneticPr fontId="4" type="noConversion"/>
  </si>
  <si>
    <t>Equity Financing</t>
    <phoneticPr fontId="4" type="noConversion"/>
  </si>
  <si>
    <t>Guaranteed Amount</t>
    <phoneticPr fontId="4" type="noConversion"/>
  </si>
  <si>
    <r>
      <t>TMU</t>
    </r>
    <r>
      <rPr>
        <sz val="11"/>
        <color theme="1"/>
        <rFont val="細明體"/>
        <family val="3"/>
        <charset val="136"/>
      </rPr>
      <t>期初保證金金額</t>
    </r>
    <r>
      <rPr>
        <sz val="11"/>
        <color theme="1"/>
        <rFont val="Calibri"/>
        <family val="2"/>
      </rPr>
      <t>(</t>
    </r>
    <r>
      <rPr>
        <sz val="11"/>
        <color theme="1"/>
        <rFont val="細明體"/>
        <family val="3"/>
        <charset val="136"/>
      </rPr>
      <t>債券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細明體"/>
        <family val="3"/>
        <charset val="136"/>
      </rPr>
      <t>幣別</t>
    </r>
    <phoneticPr fontId="4" type="noConversion"/>
  </si>
  <si>
    <t>Guaranteed amount currency(bonds) of beginning period</t>
    <phoneticPr fontId="4" type="noConversion"/>
  </si>
  <si>
    <t>Early termination fee information</t>
    <phoneticPr fontId="4" type="noConversion"/>
  </si>
  <si>
    <t>Flag of 72-2</t>
    <phoneticPr fontId="4" type="noConversion"/>
  </si>
  <si>
    <t>Date of first drawdown</t>
    <phoneticPr fontId="4" type="noConversion"/>
  </si>
  <si>
    <t>Calculation of underwrite balance</t>
    <phoneticPr fontId="4" type="noConversion"/>
  </si>
  <si>
    <t>Settlement of claim ratio</t>
    <phoneticPr fontId="4" type="noConversion"/>
  </si>
  <si>
    <t>承購額度</t>
    <phoneticPr fontId="4" type="noConversion"/>
  </si>
  <si>
    <t>Account of guarantee amount</t>
    <phoneticPr fontId="4" type="noConversion"/>
  </si>
  <si>
    <t>Limit period</t>
    <phoneticPr fontId="4" type="noConversion"/>
  </si>
  <si>
    <t>Available period</t>
    <phoneticPr fontId="4" type="noConversion"/>
  </si>
  <si>
    <t>Expiry date for loan approval</t>
    <phoneticPr fontId="4" type="noConversion"/>
  </si>
  <si>
    <t>Seller's limit shift flag</t>
    <phoneticPr fontId="4" type="noConversion"/>
  </si>
  <si>
    <t>Joint control ID of seller's company</t>
    <phoneticPr fontId="4" type="noConversion"/>
  </si>
  <si>
    <t>Occupied by (Buyer's Cap / Billing Administrator / Insurance Company)</t>
    <phoneticPr fontId="4" type="noConversion"/>
  </si>
  <si>
    <t>Buyer's limit shift flag</t>
    <phoneticPr fontId="4" type="noConversion"/>
  </si>
  <si>
    <t>Occupied amount</t>
    <phoneticPr fontId="4" type="noConversion"/>
  </si>
  <si>
    <t>Underwriting limit</t>
    <phoneticPr fontId="4" type="noConversion"/>
  </si>
  <si>
    <t>Flag of rotating savings which is in progress</t>
    <phoneticPr fontId="4" type="noConversion"/>
  </si>
  <si>
    <t>廖家鴻</t>
    <phoneticPr fontId="4" type="noConversion"/>
  </si>
  <si>
    <t>Content-Type: application/json
credentials: XXXX/XXXX
companyId: TW8070015
id: 995703.0002200.01
numberOfAuthorisers: 0
{
  "body": {
    "TLandNo": "1234567890123",
    "TLnSubPur": "1",
    "TFundsForCn": "1",
    "TOdPayType": "3",
    "TBenBank": "SINOPAC BANK",
    "TBenAcctNo": "14000400031901"
  }
}</t>
    <phoneticPr fontId="4" type="noConversion"/>
  </si>
  <si>
    <t>{
  "header": {
    "transactionStatus": "Live",
    "audit": {
      "T24_time": 505,
      "parse_time": 1,
      "responseParse_time": 1,
      "requestParse_time": 2744
    },
    "id": "995703.0002200.01",
    "status": "success",
    "uniqueIdentifier": "IRISMB232978972660953.00"
  },
  "body": {
    "TIntKey": "112",
    "TmnFxOrTimeBand": "TB",
    "TProcStatus": "Y",
    "TExtenType": "2",
    "TKpiBr": "BR0185",
    "TDiscRtTp": "00",
    "TmnReducingLimit": "N",
    "TOdPayType": "3",
    "TProjectId": "P147",
    "TCorpCust": "0",
    "TmnDeptCode": "9800",
    "TmnCoCode": "TW8079999",
    "TRevNonrev": "N",
    "TIntSprd": "10.5",
    "TiChnnCode": "MOBILBANK",
    "TmnMaximumTotal": "20000000",
    "TBenAcctNo": "14000400031901",
    "TLoanApp": "20220513TE",
    "TiChnnCodeSrc": "MOBILBANK",
    "TimeCodes": [
      {
        "TmnOnlineLimit": "20000000",
        "TmnAvailAmt": "20000000"
      }
    ],
    "TFundPur": "028",
    "TOdAcctNo": "18506200000094",
    "TmnInputters": [
      {
        "TmnInputter": "10018_BSPMOBILBANK01__OFS_IRISINTERNAL"
      }
    ],
    "TMaxTenorMm": "12",
    "TLocExpDt": "20260513",
    "TBenBank": "SINOPAC BANK",
    "TmnAvailableMarker": "Y",
    "TRepayAcct": "18500400201058",
    "TLnSubPur": "1",
    "TFundsForCn": "1",
    "TFinSubtype": "1",
    "TLoanPur": "P01",
    "TDocuBra": "185",
    "TAuthoriser": "102753",
    "TLandNo": "1234567890123",
    "TLocAcct": "185800",
    "TSecType": "3",
    "TLimitStatus": "0",
    "TmnProposalDate": "20220513",
    "TmnCurrNo": "6",
    "TDrawdown": "0",
    "TmnInternalAmount": "20000000",
    "TmnExpiryDate": "29991231",
    "TLnMainAcNo": "18505500021619",
    "TmnOnlineLimitDate": "20220513",
    "TRefBiKey": "112",
    "TmnAuthoriser": "10018_BSPMOBILBANK01_OFS_IRISINTERNAL",
    "TmnDateTimes": [
      {
        "TmnDateTime": "2310241649"
      }
    ],
    "TmnLimitCurrency": "TWD",
    "TLnGlTerm": "070",
    "TBrSeqno": "MMA-LIMITTMBINAU-0002495806472",
    "TIntRateTp": "99",
    "TOrigStartDt": "20220513",
    "TmnApprovalDate": "20220513"
  }
}</t>
    <phoneticPr fontId="4" type="noConversion"/>
  </si>
  <si>
    <t>{
  "header": {
    "transactionStatus": "Live",
    "audit": {
      "T24_time": 729,
      "parse_time": 1,
      "responseParse_time": 0,
      "requestParse_time": 0
    },
    "id": "995703.0002200.01",
    "status": "success",
    "uniqueIdentifier": "INIRIS232971001860577.00"
  },
  "body": {
    "TIntKey": "112",
    "TmnFxOrTimeBand": "TB",
    "TProcStatus": "Y",
    "TExtenType": "2",
    "TKpiBr": "BR0185",
    "TDiscRtTp": "00",
    "TmnReducingLimit": "N",
    "TOdPayType": "3",
    "TProjectId": "P147",
    "TCorpCust": "0",
    "TmnDeptCode": "9800",
    "TmnCoCode": "TW8079999",
    "TRevNonrev": "N",
    "TIntSprd": "10.5",
    "TiChnnCode": "MOBILBANK",
    "TmnMaximumTotal": "20000000",
    "TBenAcctNo": "14000400031901",
    "TLoanApp": "20220513TE",
    "TiChnnCodeSrc": "MOBILBANK",
    "TimeCodes": [
      {
        "TmnOnlineLimit": "20000000",
        "TmnAvailAmt": "20000000"
      }
    ],
    "TFundPur": "028",
    "TOdAcctNo": "18506200000094",
    "TmnInputters": [
      {
        "TmnInputter": "10018_BSPMOBILBANK01__OFS_IRISINTERNAL"
      }
    ],
    "TMaxTenorMm": "12",
    "TLocExpDt": "20260513",
    "TBenBank": "SINOPAC BANK",
    "TmnAvailableMarker": "Y",
    "TRepayAcct": "18500400201058",
    "TLnSubPur": "1",
    "TFundsForCn": "1",
    "TFinSubtype": "1",
    "TLoanPur": "P01",
    "TDocuBra": "185",
    "TAuthoriser": "102753",
    "TLandNo": "1234567890123",
    "TLocAcct": "185800",
    "TSecType": "3",
    "TLimitStatus": "0",
    "TmnProposalDate": "20220513",
    "TmnCurrNo": "6",
    "TDrawdown": "0",
    "TmnInternalAmount": "20000000",
    "TmnExpiryDate": "29991231",
    "TLnMainAcNo": "18505500021619",
    "TmnOnlineLimitDate": "20220513",
    "TRefBiKey": "112",
    "TmnAuthoriser": "10018_BSPMOBILBANK01_OFS_IRISINTERNAL",
    "TmnDateTimes": [
      {
        "TmnDateTime": "2310241649"
      }
    ],
    "TmnLimitCurrency": "TWD",
    "TLnGlTerm": "070",
    "TBrSeqno": "MMA-LIMITTMBINAU-0002495806472",
    "TIntRateTp": "99",
    "TOrigStartDt": "20220513",
    "TmnApprovalDate": "20220513"
  }
}</t>
    <phoneticPr fontId="4" type="noConversion"/>
  </si>
  <si>
    <t>T.LAND.NO</t>
  </si>
  <si>
    <t>T.LN.SUB.PUR</t>
  </si>
  <si>
    <t>T.FUNDS.FOR.CN</t>
  </si>
  <si>
    <t>T.OD.PAY.TYPE</t>
  </si>
  <si>
    <t>T.BEN.BANK</t>
  </si>
  <si>
    <t>T.BEN.ACCT.NO</t>
  </si>
  <si>
    <t>13L</t>
    <phoneticPr fontId="23" type="noConversion"/>
  </si>
  <si>
    <t>1L</t>
    <phoneticPr fontId="23" type="noConversion"/>
  </si>
  <si>
    <t>35L</t>
    <phoneticPr fontId="23" type="noConversion"/>
  </si>
  <si>
    <t>Civil Financial No</t>
    <phoneticPr fontId="4" type="noConversion"/>
  </si>
  <si>
    <t>土建融案號</t>
    <phoneticPr fontId="4" type="noConversion"/>
  </si>
  <si>
    <t>用途別子分類</t>
  </si>
  <si>
    <t>Subcategory of usage</t>
    <phoneticPr fontId="4" type="noConversion"/>
  </si>
  <si>
    <t>提供大陸人民、法人使用</t>
    <phoneticPr fontId="4" type="noConversion"/>
  </si>
  <si>
    <t>受益银行</t>
  </si>
  <si>
    <t>受益人帐号</t>
  </si>
  <si>
    <t>私房錢繳款方式</t>
  </si>
  <si>
    <t>OD PAY TYPE</t>
  </si>
  <si>
    <t xml:space="preserve">Beneficiary </t>
    <phoneticPr fontId="4" type="noConversion"/>
  </si>
  <si>
    <t>Beneficiary Account</t>
    <phoneticPr fontId="4" type="noConversion"/>
  </si>
  <si>
    <r>
      <t xml:space="preserve">1 </t>
    </r>
    <r>
      <rPr>
        <sz val="10"/>
        <color theme="1"/>
        <rFont val="細明體"/>
        <family val="2"/>
        <charset val="136"/>
      </rPr>
      <t>購置不動產</t>
    </r>
    <r>
      <rPr>
        <sz val="10"/>
        <color theme="1"/>
        <rFont val="Calibri"/>
        <family val="2"/>
      </rPr>
      <t>-</t>
    </r>
    <r>
      <rPr>
        <sz val="10"/>
        <color theme="1"/>
        <rFont val="細明體"/>
        <family val="2"/>
        <charset val="136"/>
      </rPr>
      <t>自用</t>
    </r>
    <r>
      <rPr>
        <sz val="10"/>
        <color theme="1"/>
        <rFont val="Calibri"/>
        <family val="2"/>
      </rPr>
      <t xml:space="preserve">
2 </t>
    </r>
    <r>
      <rPr>
        <sz val="10"/>
        <color theme="1"/>
        <rFont val="細明體"/>
        <family val="2"/>
        <charset val="136"/>
      </rPr>
      <t>購置不動產</t>
    </r>
    <r>
      <rPr>
        <sz val="10"/>
        <color theme="1"/>
        <rFont val="Calibri"/>
        <family val="2"/>
      </rPr>
      <t>-</t>
    </r>
    <r>
      <rPr>
        <sz val="10"/>
        <color theme="1"/>
        <rFont val="細明體"/>
        <family val="2"/>
        <charset val="136"/>
      </rPr>
      <t>非自用</t>
    </r>
    <r>
      <rPr>
        <sz val="10"/>
        <color theme="1"/>
        <rFont val="Calibri"/>
        <family val="2"/>
      </rPr>
      <t xml:space="preserve">
3 </t>
    </r>
    <r>
      <rPr>
        <sz val="10"/>
        <color theme="1"/>
        <rFont val="細明體"/>
        <family val="2"/>
        <charset val="136"/>
      </rPr>
      <t>興建不動產</t>
    </r>
    <r>
      <rPr>
        <sz val="10"/>
        <color theme="1"/>
        <rFont val="Calibri"/>
        <family val="2"/>
      </rPr>
      <t>-</t>
    </r>
    <r>
      <rPr>
        <sz val="10"/>
        <color theme="1"/>
        <rFont val="細明體"/>
        <family val="2"/>
        <charset val="136"/>
      </rPr>
      <t>自用</t>
    </r>
    <r>
      <rPr>
        <sz val="10"/>
        <color theme="1"/>
        <rFont val="Calibri"/>
        <family val="2"/>
      </rPr>
      <t xml:space="preserve">
4 </t>
    </r>
    <r>
      <rPr>
        <sz val="10"/>
        <color theme="1"/>
        <rFont val="細明體"/>
        <family val="2"/>
        <charset val="136"/>
      </rPr>
      <t>興建不動產</t>
    </r>
    <r>
      <rPr>
        <sz val="10"/>
        <color theme="1"/>
        <rFont val="Calibri"/>
        <family val="2"/>
      </rPr>
      <t>-</t>
    </r>
    <r>
      <rPr>
        <sz val="10"/>
        <color theme="1"/>
        <rFont val="細明體"/>
        <family val="2"/>
        <charset val="136"/>
      </rPr>
      <t>非自用</t>
    </r>
    <r>
      <rPr>
        <sz val="10"/>
        <color theme="1"/>
        <rFont val="Calibri"/>
        <family val="2"/>
      </rPr>
      <t xml:space="preserve">
5 </t>
    </r>
    <r>
      <rPr>
        <sz val="10"/>
        <color theme="1"/>
        <rFont val="細明體"/>
        <family val="2"/>
        <charset val="136"/>
      </rPr>
      <t>非房屋興建投資相關</t>
    </r>
    <r>
      <rPr>
        <sz val="10"/>
        <color theme="1"/>
        <rFont val="Calibri"/>
        <family val="2"/>
      </rPr>
      <t xml:space="preserve">
6 </t>
    </r>
    <r>
      <rPr>
        <sz val="10"/>
        <color theme="1"/>
        <rFont val="細明體"/>
        <family val="2"/>
        <charset val="136"/>
      </rPr>
      <t>與房屋興建投資相關</t>
    </r>
    <r>
      <rPr>
        <sz val="10"/>
        <color theme="1"/>
        <rFont val="Calibri"/>
        <family val="2"/>
      </rPr>
      <t>-</t>
    </r>
    <r>
      <rPr>
        <sz val="10"/>
        <color theme="1"/>
        <rFont val="細明體"/>
        <family val="2"/>
        <charset val="136"/>
      </rPr>
      <t>自用</t>
    </r>
    <r>
      <rPr>
        <sz val="10"/>
        <color theme="1"/>
        <rFont val="Calibri"/>
        <family val="2"/>
      </rPr>
      <t xml:space="preserve">
7 </t>
    </r>
    <r>
      <rPr>
        <sz val="10"/>
        <color theme="1"/>
        <rFont val="細明體"/>
        <family val="2"/>
        <charset val="136"/>
      </rPr>
      <t>與房屋興建投資相關</t>
    </r>
    <r>
      <rPr>
        <sz val="10"/>
        <color theme="1"/>
        <rFont val="Calibri"/>
        <family val="2"/>
      </rPr>
      <t>-</t>
    </r>
    <r>
      <rPr>
        <sz val="10"/>
        <color theme="1"/>
        <rFont val="細明體"/>
        <family val="2"/>
        <charset val="136"/>
      </rPr>
      <t>非自用</t>
    </r>
    <phoneticPr fontId="4" type="noConversion"/>
  </si>
  <si>
    <r>
      <t xml:space="preserve">0 </t>
    </r>
    <r>
      <rPr>
        <sz val="10"/>
        <color theme="1"/>
        <rFont val="細明體"/>
        <family val="2"/>
        <charset val="136"/>
      </rPr>
      <t>否</t>
    </r>
    <r>
      <rPr>
        <sz val="10"/>
        <color theme="1"/>
        <rFont val="Calibri"/>
        <family val="2"/>
      </rPr>
      <t xml:space="preserve">
1 </t>
    </r>
    <r>
      <rPr>
        <sz val="10"/>
        <color theme="1"/>
        <rFont val="細明體"/>
        <family val="2"/>
        <charset val="136"/>
      </rPr>
      <t>是</t>
    </r>
    <phoneticPr fontId="4" type="noConversion"/>
  </si>
  <si>
    <r>
      <t xml:space="preserve">1 </t>
    </r>
    <r>
      <rPr>
        <sz val="10"/>
        <color theme="1"/>
        <rFont val="細明體"/>
        <family val="2"/>
        <charset val="136"/>
      </rPr>
      <t>約定本行帳戶</t>
    </r>
    <r>
      <rPr>
        <sz val="10"/>
        <color theme="1"/>
        <rFont val="Calibri"/>
        <family val="2"/>
      </rPr>
      <t>-</t>
    </r>
    <r>
      <rPr>
        <sz val="10"/>
        <color theme="1"/>
        <rFont val="細明體"/>
        <family val="2"/>
        <charset val="136"/>
      </rPr>
      <t xml:space="preserve">足額繳款 </t>
    </r>
    <r>
      <rPr>
        <sz val="10"/>
        <color theme="1"/>
        <rFont val="Calibri"/>
        <family val="2"/>
      </rPr>
      <t xml:space="preserve">Fully Repayment
2 </t>
    </r>
    <r>
      <rPr>
        <sz val="10"/>
        <color theme="1"/>
        <rFont val="細明體"/>
        <family val="2"/>
        <charset val="136"/>
      </rPr>
      <t xml:space="preserve">約定本行帳戶-部分繳款 </t>
    </r>
    <r>
      <rPr>
        <sz val="10"/>
        <color theme="1"/>
        <rFont val="Calibri"/>
        <family val="2"/>
      </rPr>
      <t xml:space="preserve">Partial Repayment
3 </t>
    </r>
    <r>
      <rPr>
        <sz val="10"/>
        <color theme="1"/>
        <rFont val="細明體"/>
        <family val="2"/>
        <charset val="136"/>
      </rPr>
      <t>快通號-部分繳款 558-Partial Repayment</t>
    </r>
    <phoneticPr fontId="4" type="noConversion"/>
  </si>
  <si>
    <t>Content-Type: application/json
credentials: XXXX/XXXX
companyId: TW8079999
id: 995703.0002200.01</t>
    <phoneticPr fontId="4" type="noConversion"/>
  </si>
  <si>
    <t>TLandNo</t>
    <phoneticPr fontId="4" type="noConversion"/>
  </si>
  <si>
    <t>TLnSubPur</t>
    <phoneticPr fontId="4" type="noConversion"/>
  </si>
  <si>
    <t>TFundsForCn</t>
    <phoneticPr fontId="4" type="noConversion"/>
  </si>
  <si>
    <t>TOdPayType</t>
    <phoneticPr fontId="4" type="noConversion"/>
  </si>
  <si>
    <t>TBenBank</t>
    <phoneticPr fontId="4" type="noConversion"/>
  </si>
  <si>
    <t>TBenAcctNo</t>
    <phoneticPr fontId="4" type="noConversion"/>
  </si>
  <si>
    <t>Add TLandNo, TLnSubPur, TFundsForCn, TOdPayType, TBenBank, TBenAcctNo.
Request by 陳筱雅</t>
    <phoneticPr fontId="4" type="noConversion"/>
  </si>
  <si>
    <t>Funds for CN</t>
    <phoneticPr fontId="4" type="noConversion"/>
  </si>
  <si>
    <t>陳筱雅</t>
    <phoneticPr fontId="4" type="noConversion"/>
  </si>
  <si>
    <t>T.VERSION.NAME</t>
  </si>
  <si>
    <t>54L</t>
    <phoneticPr fontId="4" type="noConversion"/>
  </si>
  <si>
    <t>V</t>
    <phoneticPr fontId="4" type="noConversion"/>
  </si>
  <si>
    <t>VERSION NAME</t>
    <phoneticPr fontId="4" type="noConversion"/>
  </si>
  <si>
    <t>私房錢約定扣繳</t>
    <phoneticPr fontId="4" type="noConversion"/>
  </si>
  <si>
    <t>備償轉出記號</t>
  </si>
  <si>
    <t>備償/客票擔保成數</t>
  </si>
  <si>
    <t>社會責任專案類別</t>
  </si>
  <si>
    <t>社會責任專案目標族群</t>
  </si>
  <si>
    <t>承作社會責任專案者</t>
  </si>
  <si>
    <t>特殊融資子項</t>
  </si>
  <si>
    <t>TOdPayChk</t>
    <phoneticPr fontId="4" type="noConversion"/>
  </si>
  <si>
    <r>
      <t>1-</t>
    </r>
    <r>
      <rPr>
        <sz val="10"/>
        <color rgb="FFFF0000"/>
        <rFont val="新細明體"/>
        <family val="2"/>
        <charset val="136"/>
      </rPr>
      <t>非營運階段</t>
    </r>
    <r>
      <rPr>
        <sz val="10"/>
        <color rgb="FFFF0000"/>
        <rFont val="Calibri"/>
        <family val="2"/>
      </rPr>
      <t xml:space="preserve">
2-</t>
    </r>
    <r>
      <rPr>
        <sz val="10"/>
        <color rgb="FFFF0000"/>
        <rFont val="新細明體"/>
        <family val="2"/>
        <charset val="136"/>
      </rPr>
      <t>營運階段</t>
    </r>
    <r>
      <rPr>
        <sz val="10"/>
        <color rgb="FFFF0000"/>
        <rFont val="Calibri"/>
        <family val="2"/>
      </rPr>
      <t xml:space="preserve">
3-</t>
    </r>
    <r>
      <rPr>
        <sz val="10"/>
        <color rgb="FFFF0000"/>
        <rFont val="新細明體"/>
        <family val="2"/>
        <charset val="136"/>
      </rPr>
      <t>營運階段且為高品質</t>
    </r>
    <phoneticPr fontId="4" type="noConversion"/>
  </si>
  <si>
    <t>Repayment Transfer Indicator</t>
    <phoneticPr fontId="4" type="noConversion"/>
  </si>
  <si>
    <t>Repayment/Promissory Note Guarantee Ratio</t>
    <phoneticPr fontId="4" type="noConversion"/>
  </si>
  <si>
    <t>CSR Project Category</t>
    <phoneticPr fontId="4" type="noConversion"/>
  </si>
  <si>
    <t>CSR Project Target Group</t>
    <phoneticPr fontId="4" type="noConversion"/>
  </si>
  <si>
    <t>CSR Project Executor</t>
    <phoneticPr fontId="4" type="noConversion"/>
  </si>
  <si>
    <t>Special Financing Sub-Item</t>
    <phoneticPr fontId="4" type="noConversion"/>
  </si>
  <si>
    <t>OD Pay Check for 2200 limit</t>
    <phoneticPr fontId="4" type="noConversion"/>
  </si>
  <si>
    <t>T.OD.PAY.CHK</t>
    <phoneticPr fontId="4" type="noConversion"/>
  </si>
  <si>
    <t>T.DPOSI.REM.RM</t>
    <phoneticPr fontId="4" type="noConversion"/>
  </si>
  <si>
    <t>T.COLLATE.LTV</t>
    <phoneticPr fontId="4" type="noConversion"/>
  </si>
  <si>
    <t>T.SOCIAL.TYPE</t>
    <phoneticPr fontId="4" type="noConversion"/>
  </si>
  <si>
    <t>T.SOCIAL.GROUP</t>
    <phoneticPr fontId="4" type="noConversion"/>
  </si>
  <si>
    <t>T.SOCIAL.KIND</t>
    <phoneticPr fontId="4" type="noConversion"/>
  </si>
  <si>
    <t>T.IPRE.SUBTYPE</t>
    <phoneticPr fontId="4" type="noConversion"/>
  </si>
  <si>
    <t>TIpreSubtype</t>
    <phoneticPr fontId="4" type="noConversion"/>
  </si>
  <si>
    <t>TSocialKind</t>
    <phoneticPr fontId="4" type="noConversion"/>
  </si>
  <si>
    <t>TSocialGroup</t>
    <phoneticPr fontId="4" type="noConversion"/>
  </si>
  <si>
    <t>TSocialType</t>
    <phoneticPr fontId="4" type="noConversion"/>
  </si>
  <si>
    <t>TCollateLtv</t>
    <phoneticPr fontId="4" type="noConversion"/>
  </si>
  <si>
    <t>TDposiRemRm</t>
    <phoneticPr fontId="4" type="noConversion"/>
  </si>
  <si>
    <t>TVersionName</t>
    <phoneticPr fontId="4" type="noConversion"/>
  </si>
  <si>
    <t>增加TVersionName/TOdPayChk/TDposiRemRm/TCollateLtv/TSocialType/TSocialGroup/TSocialKind/TIpreSubtype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</si>
</sst>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細明體"/>
      <family val="3"/>
      <charset val="136"/>
    </font>
    <font>
      <sz val="10"/>
      <color theme="1"/>
      <name val="細明體"/>
      <family val="3"/>
      <charset val="136"/>
    </font>
    <font>
      <sz val="11"/>
      <color theme="1"/>
      <name val="細明體"/>
      <family val="2"/>
      <charset val="136"/>
    </font>
    <font>
      <sz val="11"/>
      <color theme="1"/>
      <name val="Calibri"/>
      <family val="2"/>
      <charset val="136"/>
    </font>
    <font>
      <sz val="9"/>
      <name val="新細明體"/>
      <family val="2"/>
      <charset val="136"/>
      <scheme val="minor"/>
    </font>
    <font>
      <sz val="10"/>
      <color rgb="FF0000D4"/>
      <name val="細明體"/>
      <family val="2"/>
      <charset val="136"/>
    </font>
    <font>
      <sz val="10"/>
      <color theme="1"/>
      <name val="細明體"/>
      <family val="2"/>
      <charset val="136"/>
    </font>
    <font>
      <sz val="11"/>
      <color rgb="FFFF0000"/>
      <name val="Calibri"/>
      <family val="2"/>
    </font>
    <font>
      <sz val="10"/>
      <color rgb="FFFF0000"/>
      <name val="Calibri"/>
      <family val="2"/>
    </font>
    <font>
      <sz val="11"/>
      <color rgb="FFFF0000"/>
      <name val="細明體"/>
      <family val="2"/>
      <charset val="136"/>
    </font>
    <font>
      <sz val="10"/>
      <color rgb="FFFF0000"/>
      <name val="新細明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  <xf numFmtId="0" fontId="11" fillId="0" borderId="0" applyNumberFormat="0" applyFill="0" applyBorder="0" applyAlignment="0" applyProtection="0"/>
    <xf numFmtId="0" fontId="9" fillId="0" borderId="0"/>
  </cellStyleXfs>
  <cellXfs count="54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10" fillId="0" borderId="6" xfId="6" applyFont="1" applyBorder="1" applyAlignment="1">
      <alignment horizontal="left"/>
    </xf>
    <xf numFmtId="0" fontId="10" fillId="0" borderId="6" xfId="6" applyFont="1" applyBorder="1" applyAlignment="1">
      <alignment horizontal="left" wrapText="1"/>
    </xf>
    <xf numFmtId="0" fontId="10" fillId="0" borderId="0" xfId="6" applyFont="1" applyAlignment="1">
      <alignment horizontal="left" vertical="center"/>
    </xf>
    <xf numFmtId="0" fontId="10" fillId="0" borderId="6" xfId="6" applyFont="1" applyBorder="1" applyAlignment="1" applyProtection="1">
      <alignment horizontal="left" wrapText="1"/>
      <protection locked="0"/>
    </xf>
    <xf numFmtId="0" fontId="10" fillId="0" borderId="0" xfId="0" applyFont="1"/>
    <xf numFmtId="0" fontId="10" fillId="0" borderId="0" xfId="0" applyFont="1" applyAlignment="1">
      <alignment wrapText="1"/>
    </xf>
    <xf numFmtId="0" fontId="14" fillId="4" borderId="6" xfId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6" xfId="0" applyFont="1" applyBorder="1" applyAlignment="1">
      <alignment vertical="top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1" fillId="0" borderId="0" xfId="3"/>
    <xf numFmtId="0" fontId="16" fillId="5" borderId="6" xfId="0" applyFont="1" applyFill="1" applyBorder="1" applyAlignment="1">
      <alignment horizontal="center"/>
    </xf>
    <xf numFmtId="0" fontId="18" fillId="0" borderId="6" xfId="0" applyFont="1" applyBorder="1" applyAlignment="1">
      <alignment vertical="top" wrapText="1"/>
    </xf>
    <xf numFmtId="0" fontId="14" fillId="4" borderId="6" xfId="6" applyFont="1" applyFill="1" applyBorder="1" applyAlignment="1">
      <alignment horizontal="left" vertical="center"/>
    </xf>
    <xf numFmtId="0" fontId="14" fillId="4" borderId="6" xfId="6" applyFont="1" applyFill="1" applyBorder="1" applyAlignment="1">
      <alignment horizontal="left"/>
    </xf>
    <xf numFmtId="0" fontId="19" fillId="0" borderId="0" xfId="6" applyFont="1" applyAlignment="1">
      <alignment horizontal="left" vertical="center"/>
    </xf>
    <xf numFmtId="0" fontId="14" fillId="4" borderId="6" xfId="6" applyFont="1" applyFill="1" applyBorder="1" applyAlignment="1">
      <alignment horizontal="left" wrapText="1"/>
    </xf>
    <xf numFmtId="0" fontId="10" fillId="0" borderId="0" xfId="6" applyFont="1" applyAlignment="1">
      <alignment horizontal="left" vertical="center" wrapText="1"/>
    </xf>
    <xf numFmtId="0" fontId="13" fillId="0" borderId="6" xfId="6" applyFont="1" applyBorder="1" applyAlignment="1">
      <alignment horizontal="left"/>
    </xf>
    <xf numFmtId="0" fontId="21" fillId="0" borderId="0" xfId="6" applyFont="1" applyAlignment="1">
      <alignment horizontal="left" vertical="center"/>
    </xf>
    <xf numFmtId="0" fontId="22" fillId="0" borderId="0" xfId="6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4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4" fontId="7" fillId="0" borderId="5" xfId="0" quotePrefix="1" applyNumberFormat="1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6" fillId="0" borderId="0" xfId="6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vertical="center"/>
    </xf>
    <xf numFmtId="0" fontId="26" fillId="0" borderId="0" xfId="0" applyFont="1"/>
    <xf numFmtId="0" fontId="28" fillId="0" borderId="0" xfId="6" applyFont="1" applyAlignment="1">
      <alignment horizontal="left" vertical="center"/>
    </xf>
    <xf numFmtId="0" fontId="26" fillId="0" borderId="0" xfId="6" applyFont="1" applyAlignment="1">
      <alignment horizontal="left" vertical="center" wrapText="1"/>
    </xf>
    <xf numFmtId="0" fontId="27" fillId="0" borderId="0" xfId="0" applyFont="1" applyAlignment="1">
      <alignment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7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tabSelected="1" workbookViewId="0">
      <selection activeCell="C10" sqref="C10"/>
    </sheetView>
  </sheetViews>
  <sheetFormatPr defaultRowHeight="15.75" x14ac:dyDescent="0.2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8.140625" bestFit="1" customWidth="1"/>
  </cols>
  <sheetData>
    <row r="1" spans="1:5" ht="30" customHeight="1" x14ac:dyDescent="0.25">
      <c r="A1" s="49" t="s">
        <v>18</v>
      </c>
      <c r="B1" s="50"/>
      <c r="C1" s="50"/>
      <c r="D1" s="50"/>
      <c r="E1" s="50"/>
    </row>
    <row r="2" spans="1:5" ht="16.5" thickBot="1" x14ac:dyDescent="0.3">
      <c r="A2" s="51" t="s">
        <v>71</v>
      </c>
      <c r="B2" s="52"/>
      <c r="C2" s="52"/>
      <c r="D2" s="52"/>
      <c r="E2" s="53"/>
    </row>
    <row r="3" spans="1:5" ht="16.5" thickBo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16.5" thickBot="1" x14ac:dyDescent="0.3">
      <c r="A4" s="2" t="s">
        <v>5</v>
      </c>
      <c r="B4" s="4">
        <v>44846</v>
      </c>
      <c r="C4" s="6" t="s">
        <v>6</v>
      </c>
      <c r="D4" s="38" t="s">
        <v>903</v>
      </c>
      <c r="E4" s="3" t="s">
        <v>7</v>
      </c>
    </row>
    <row r="5" spans="1:5" ht="27.75" thickBot="1" x14ac:dyDescent="0.3">
      <c r="A5" s="2">
        <v>1.1000000000000001</v>
      </c>
      <c r="B5" s="4">
        <v>45223</v>
      </c>
      <c r="C5" s="6" t="s">
        <v>937</v>
      </c>
      <c r="D5" s="38" t="s">
        <v>903</v>
      </c>
      <c r="E5" s="3"/>
    </row>
    <row r="6" spans="1:5" ht="41.25" thickBot="1" x14ac:dyDescent="0.3">
      <c r="A6" s="39">
        <v>1.2</v>
      </c>
      <c r="B6" s="40">
        <v>45789</v>
      </c>
      <c r="C6" s="6" t="s">
        <v>974</v>
      </c>
      <c r="D6" s="39" t="s">
        <v>939</v>
      </c>
      <c r="E6" s="3"/>
    </row>
    <row r="7" spans="1:5" ht="16.5" thickBot="1" x14ac:dyDescent="0.3">
      <c r="A7" s="3"/>
      <c r="B7" s="5"/>
      <c r="C7" s="7"/>
      <c r="D7" s="3"/>
      <c r="E7" s="3"/>
    </row>
    <row r="8" spans="1:5" ht="16.5" thickBot="1" x14ac:dyDescent="0.3">
      <c r="A8" s="3"/>
      <c r="B8" s="5"/>
      <c r="C8" s="7"/>
      <c r="D8" s="3"/>
      <c r="E8" s="3"/>
    </row>
    <row r="9" spans="1:5" ht="16.5" thickBot="1" x14ac:dyDescent="0.3">
      <c r="A9" s="3"/>
      <c r="B9" s="5"/>
      <c r="C9" s="7"/>
      <c r="D9" s="3"/>
      <c r="E9" s="3"/>
    </row>
    <row r="10" spans="1:5" ht="16.5" thickBot="1" x14ac:dyDescent="0.3">
      <c r="A10" s="3"/>
      <c r="B10" s="5"/>
      <c r="C10" s="7"/>
      <c r="D10" s="3"/>
      <c r="E10" s="3"/>
    </row>
    <row r="11" spans="1:5" ht="16.5" thickBot="1" x14ac:dyDescent="0.3">
      <c r="A11" s="3"/>
      <c r="B11" s="5"/>
      <c r="C11" s="7"/>
      <c r="D11" s="3"/>
      <c r="E11" s="3"/>
    </row>
    <row r="12" spans="1:5" ht="16.5" thickBot="1" x14ac:dyDescent="0.3">
      <c r="A12" s="3"/>
      <c r="B12" s="5"/>
      <c r="C12" s="7"/>
      <c r="D12" s="3"/>
      <c r="E12" s="3"/>
    </row>
    <row r="13" spans="1:5" ht="16.5" thickBot="1" x14ac:dyDescent="0.3">
      <c r="A13" s="3"/>
      <c r="B13" s="5"/>
      <c r="C13" s="7"/>
      <c r="D13" s="3"/>
      <c r="E13" s="3"/>
    </row>
    <row r="14" spans="1:5" ht="16.5" thickBot="1" x14ac:dyDescent="0.3">
      <c r="A14" s="3"/>
      <c r="B14" s="5"/>
      <c r="C14" s="7"/>
      <c r="D14" s="3"/>
      <c r="E14" s="3"/>
    </row>
    <row r="15" spans="1:5" ht="16.5" thickBot="1" x14ac:dyDescent="0.3">
      <c r="A15" s="3"/>
      <c r="B15" s="5"/>
      <c r="C15" s="7"/>
      <c r="D15" s="3"/>
      <c r="E15" s="3"/>
    </row>
    <row r="16" spans="1:5" ht="16.5" thickBot="1" x14ac:dyDescent="0.3">
      <c r="A16" s="3"/>
      <c r="B16" s="5"/>
      <c r="C16" s="8"/>
      <c r="D16" s="3"/>
      <c r="E16" s="3"/>
    </row>
    <row r="17" spans="1:5" ht="16.5" thickBot="1" x14ac:dyDescent="0.3">
      <c r="A17" s="9"/>
      <c r="B17" s="5"/>
      <c r="C17" s="7"/>
      <c r="D17" s="3"/>
      <c r="E17" s="3"/>
    </row>
    <row r="18" spans="1:5" ht="16.5" thickBot="1" x14ac:dyDescent="0.3">
      <c r="A18" s="3"/>
      <c r="B18" s="5"/>
      <c r="C18" s="7"/>
      <c r="D18" s="3"/>
      <c r="E18" s="3"/>
    </row>
    <row r="19" spans="1:5" ht="16.5" thickBot="1" x14ac:dyDescent="0.3">
      <c r="A19" s="3"/>
      <c r="B19" s="5"/>
      <c r="C19" s="7"/>
      <c r="D19" s="3"/>
      <c r="E19" s="3"/>
    </row>
    <row r="20" spans="1:5" ht="16.5" thickBot="1" x14ac:dyDescent="0.3">
      <c r="A20" s="3"/>
      <c r="B20" s="5"/>
      <c r="C20" s="7"/>
      <c r="D20" s="3"/>
      <c r="E20" s="3"/>
    </row>
    <row r="21" spans="1:5" ht="16.5" thickBot="1" x14ac:dyDescent="0.3">
      <c r="A21" s="3"/>
      <c r="B21" s="5"/>
      <c r="C21" s="7"/>
      <c r="D21" s="3"/>
      <c r="E21" s="3"/>
    </row>
    <row r="22" spans="1:5" ht="16.5" thickBot="1" x14ac:dyDescent="0.3">
      <c r="A22" s="3"/>
      <c r="B22" s="5"/>
      <c r="C22" s="7"/>
      <c r="D22" s="3"/>
      <c r="E22" s="3"/>
    </row>
    <row r="23" spans="1:5" ht="16.5" thickBot="1" x14ac:dyDescent="0.3">
      <c r="A23" s="3"/>
      <c r="B23" s="5"/>
      <c r="C23" s="7"/>
      <c r="D23" s="3"/>
      <c r="E23" s="3"/>
    </row>
    <row r="24" spans="1:5" ht="16.5" thickBot="1" x14ac:dyDescent="0.3">
      <c r="A24" s="3"/>
      <c r="B24" s="5"/>
      <c r="C24" s="7"/>
      <c r="D24" s="3"/>
      <c r="E24" s="3"/>
    </row>
    <row r="25" spans="1:5" ht="16.5" thickBot="1" x14ac:dyDescent="0.3">
      <c r="A25" s="3"/>
      <c r="B25" s="5"/>
      <c r="C25" s="7"/>
      <c r="D25" s="3"/>
      <c r="E25" s="3"/>
    </row>
    <row r="26" spans="1:5" ht="16.5" thickBot="1" x14ac:dyDescent="0.3">
      <c r="A26" s="3"/>
      <c r="B26" s="5"/>
      <c r="C26" s="7"/>
      <c r="D26" s="3"/>
      <c r="E26" s="3"/>
    </row>
    <row r="27" spans="1:5" ht="16.5" thickBot="1" x14ac:dyDescent="0.3">
      <c r="A27" s="3"/>
      <c r="B27" s="5"/>
      <c r="C27" s="7"/>
      <c r="D27" s="3"/>
      <c r="E27" s="3"/>
    </row>
    <row r="28" spans="1:5" ht="16.5" thickBot="1" x14ac:dyDescent="0.3">
      <c r="A28" s="3"/>
      <c r="B28" s="5"/>
      <c r="C28" s="7"/>
      <c r="D28" s="3"/>
      <c r="E28" s="3"/>
    </row>
    <row r="29" spans="1:5" ht="16.5" thickBot="1" x14ac:dyDescent="0.3">
      <c r="A29" s="3"/>
      <c r="B29" s="5"/>
      <c r="C29" s="7"/>
      <c r="D29" s="3"/>
      <c r="E29" s="3"/>
    </row>
    <row r="30" spans="1:5" ht="16.5" thickBot="1" x14ac:dyDescent="0.3">
      <c r="A30" s="3"/>
      <c r="B30" s="5"/>
      <c r="C30" s="7"/>
      <c r="D30" s="3"/>
      <c r="E30" s="3"/>
    </row>
    <row r="31" spans="1:5" ht="16.5" thickBot="1" x14ac:dyDescent="0.3">
      <c r="A31" s="3"/>
      <c r="B31" s="5"/>
      <c r="C31" s="7"/>
      <c r="D31" s="3"/>
      <c r="E31" s="3"/>
    </row>
    <row r="32" spans="1:5" ht="16.5" thickBot="1" x14ac:dyDescent="0.3">
      <c r="A32" s="3"/>
      <c r="B32" s="5"/>
      <c r="C32" s="7"/>
      <c r="D32" s="3"/>
      <c r="E32" s="3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M230"/>
  <sheetViews>
    <sheetView topLeftCell="A195" zoomScale="90" zoomScaleNormal="90" workbookViewId="0">
      <selection activeCell="D206" sqref="D206"/>
    </sheetView>
  </sheetViews>
  <sheetFormatPr defaultColWidth="9" defaultRowHeight="15" x14ac:dyDescent="0.25"/>
  <cols>
    <col min="1" max="1" width="5.28515625" style="14" bestFit="1" customWidth="1"/>
    <col min="2" max="2" width="24.7109375" style="14" bestFit="1" customWidth="1"/>
    <col min="3" max="3" width="44.42578125" style="14" customWidth="1"/>
    <col min="4" max="4" width="27" style="14" customWidth="1"/>
    <col min="5" max="5" width="20.7109375" style="14" customWidth="1"/>
    <col min="6" max="6" width="7.42578125" style="14" customWidth="1"/>
    <col min="7" max="7" width="16.7109375" style="37" customWidth="1"/>
    <col min="8" max="9" width="7.42578125" style="14" customWidth="1"/>
    <col min="10" max="10" width="18.5703125" style="14" customWidth="1"/>
    <col min="11" max="11" width="26.28515625" style="14" customWidth="1"/>
    <col min="12" max="12" width="39.7109375" style="14" customWidth="1"/>
    <col min="13" max="13" width="35.42578125" style="15" customWidth="1"/>
    <col min="14" max="16384" width="9" style="14"/>
  </cols>
  <sheetData>
    <row r="1" spans="1:13" x14ac:dyDescent="0.25">
      <c r="B1" s="16" t="s">
        <v>54</v>
      </c>
      <c r="C1" s="10" t="s">
        <v>87</v>
      </c>
    </row>
    <row r="2" spans="1:13" x14ac:dyDescent="0.25">
      <c r="B2" s="16" t="s">
        <v>55</v>
      </c>
      <c r="C2" s="34" t="s">
        <v>88</v>
      </c>
    </row>
    <row r="3" spans="1:13" ht="135" x14ac:dyDescent="0.25">
      <c r="B3" s="16" t="s">
        <v>23</v>
      </c>
      <c r="C3" s="13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/api/v1.0.0/party/IL0004
POST (input): /api/v1.0.0/party/IL0004
POST (hold): /api/v1.0.0/party/IL0004/HOLD
PUT (input): /api/v1.0.0/party/IL0004
PUT (auth): /api/v1.0.0/party/IL0004/AUTH
PUT (hold): /api/v1.0.0/party/IL0004/HOLD
PUT (hrev): /api/v1.0.0/party/IL0004/HREV
DELETE (del): /api/v1.0.0/party/IL0004
DELETE (rev): /api/v1.0.0/party/IL0004/REVE</v>
      </c>
      <c r="E3" s="15"/>
    </row>
    <row r="4" spans="1:13" ht="75" x14ac:dyDescent="0.25">
      <c r="B4" s="16" t="s">
        <v>25</v>
      </c>
      <c r="C4" s="11" t="s">
        <v>76</v>
      </c>
    </row>
    <row r="5" spans="1:13" ht="60" x14ac:dyDescent="0.25">
      <c r="B5" s="16" t="s">
        <v>49</v>
      </c>
      <c r="C5" s="11" t="s">
        <v>46</v>
      </c>
    </row>
    <row r="6" spans="1:13" x14ac:dyDescent="0.25">
      <c r="B6" s="16" t="s">
        <v>24</v>
      </c>
      <c r="C6" s="10" t="s">
        <v>8</v>
      </c>
    </row>
    <row r="7" spans="1:13" x14ac:dyDescent="0.25">
      <c r="B7" s="16" t="s">
        <v>50</v>
      </c>
      <c r="C7" s="10" t="s">
        <v>89</v>
      </c>
    </row>
    <row r="8" spans="1:13" x14ac:dyDescent="0.25">
      <c r="B8" s="16" t="s">
        <v>52</v>
      </c>
      <c r="C8" s="10" t="str">
        <f>+$C$9&amp;",EB.API."&amp;$C$1&amp;".1.0.0"</f>
        <v>LIMIT,EB.API.IL0004.1.0.0</v>
      </c>
    </row>
    <row r="9" spans="1:13" x14ac:dyDescent="0.25">
      <c r="B9" s="16" t="s">
        <v>9</v>
      </c>
      <c r="C9" s="10" t="s">
        <v>90</v>
      </c>
    </row>
    <row r="10" spans="1:13" x14ac:dyDescent="0.25">
      <c r="B10" s="16" t="s">
        <v>53</v>
      </c>
      <c r="C10" s="10" t="s">
        <v>10</v>
      </c>
    </row>
    <row r="12" spans="1:13" x14ac:dyDescent="0.25">
      <c r="A12" s="29" t="s">
        <v>11</v>
      </c>
      <c r="B12" s="29" t="s">
        <v>12</v>
      </c>
      <c r="C12" s="29" t="s">
        <v>13</v>
      </c>
      <c r="D12" s="29" t="s">
        <v>75</v>
      </c>
      <c r="E12" s="29" t="s">
        <v>19</v>
      </c>
      <c r="F12" s="29" t="s">
        <v>14</v>
      </c>
      <c r="G12" s="29" t="s">
        <v>20</v>
      </c>
      <c r="H12" s="29" t="s">
        <v>21</v>
      </c>
      <c r="I12" s="29" t="s">
        <v>73</v>
      </c>
      <c r="J12" s="29" t="s">
        <v>15</v>
      </c>
      <c r="K12" s="29" t="s">
        <v>47</v>
      </c>
      <c r="L12" s="30" t="s">
        <v>48</v>
      </c>
      <c r="M12" s="32" t="s">
        <v>22</v>
      </c>
    </row>
    <row r="13" spans="1:13" x14ac:dyDescent="0.25">
      <c r="A13" s="29"/>
      <c r="B13" s="29" t="s">
        <v>56</v>
      </c>
      <c r="C13" s="29" t="s">
        <v>72</v>
      </c>
      <c r="D13" s="29" t="s">
        <v>57</v>
      </c>
      <c r="E13" s="29" t="s">
        <v>58</v>
      </c>
      <c r="F13" s="29" t="s">
        <v>59</v>
      </c>
      <c r="G13" s="29" t="s">
        <v>60</v>
      </c>
      <c r="H13" s="29" t="s">
        <v>61</v>
      </c>
      <c r="I13" s="29" t="s">
        <v>74</v>
      </c>
      <c r="J13" s="29" t="s">
        <v>62</v>
      </c>
      <c r="K13" s="29" t="s">
        <v>63</v>
      </c>
      <c r="L13" s="30" t="s">
        <v>64</v>
      </c>
      <c r="M13" s="32" t="s">
        <v>512</v>
      </c>
    </row>
    <row r="14" spans="1:13" ht="15.75" x14ac:dyDescent="0.25">
      <c r="A14" s="17">
        <v>1</v>
      </c>
      <c r="B14" s="24" t="s">
        <v>91</v>
      </c>
      <c r="C14" s="24" t="s">
        <v>243</v>
      </c>
      <c r="D14" s="24"/>
      <c r="E14" s="24"/>
      <c r="F14" s="24" t="s">
        <v>66</v>
      </c>
      <c r="G14" s="12" t="s">
        <v>728</v>
      </c>
      <c r="H14" s="24" t="s">
        <v>83</v>
      </c>
      <c r="I14" s="12" t="s">
        <v>728</v>
      </c>
      <c r="J14" s="24"/>
      <c r="K14" s="24"/>
      <c r="L14" s="12" t="s">
        <v>513</v>
      </c>
      <c r="M14" s="33" t="s">
        <v>724</v>
      </c>
    </row>
    <row r="15" spans="1:13" ht="15.75" x14ac:dyDescent="0.25">
      <c r="A15" s="17">
        <v>2</v>
      </c>
      <c r="B15" s="24" t="s">
        <v>92</v>
      </c>
      <c r="C15" s="24" t="s">
        <v>244</v>
      </c>
      <c r="D15" s="24"/>
      <c r="E15" s="24"/>
      <c r="F15" s="24" t="s">
        <v>424</v>
      </c>
      <c r="G15" s="12" t="s">
        <v>728</v>
      </c>
      <c r="H15" s="24" t="s">
        <v>83</v>
      </c>
      <c r="I15" s="12" t="s">
        <v>728</v>
      </c>
      <c r="J15" s="24"/>
      <c r="K15" s="24"/>
      <c r="L15" s="12" t="s">
        <v>514</v>
      </c>
      <c r="M15" s="33" t="s">
        <v>725</v>
      </c>
    </row>
    <row r="16" spans="1:13" ht="15.75" x14ac:dyDescent="0.25">
      <c r="A16" s="17">
        <v>3</v>
      </c>
      <c r="B16" s="24" t="s">
        <v>93</v>
      </c>
      <c r="C16" s="24" t="s">
        <v>245</v>
      </c>
      <c r="D16" s="24"/>
      <c r="E16" s="24"/>
      <c r="F16" s="24" t="s">
        <v>424</v>
      </c>
      <c r="G16" s="12" t="s">
        <v>728</v>
      </c>
      <c r="H16" s="24" t="s">
        <v>83</v>
      </c>
      <c r="I16" s="12" t="s">
        <v>728</v>
      </c>
      <c r="J16" s="24"/>
      <c r="K16" s="24"/>
      <c r="L16" s="12" t="s">
        <v>515</v>
      </c>
      <c r="M16" s="33" t="s">
        <v>726</v>
      </c>
    </row>
    <row r="17" spans="1:13" ht="15.75" x14ac:dyDescent="0.25">
      <c r="A17" s="17">
        <v>4</v>
      </c>
      <c r="B17" s="24" t="s">
        <v>94</v>
      </c>
      <c r="C17" s="24" t="s">
        <v>246</v>
      </c>
      <c r="D17" s="24"/>
      <c r="E17" s="24"/>
      <c r="F17" s="24" t="s">
        <v>424</v>
      </c>
      <c r="G17" s="12" t="s">
        <v>728</v>
      </c>
      <c r="H17" s="24" t="s">
        <v>83</v>
      </c>
      <c r="I17" s="12" t="s">
        <v>728</v>
      </c>
      <c r="J17" s="24"/>
      <c r="K17" s="24"/>
      <c r="L17" s="12" t="s">
        <v>516</v>
      </c>
      <c r="M17" s="24" t="s">
        <v>819</v>
      </c>
    </row>
    <row r="18" spans="1:13" ht="16.5" customHeight="1" x14ac:dyDescent="0.25">
      <c r="A18" s="17">
        <v>5</v>
      </c>
      <c r="B18" s="24" t="s">
        <v>95</v>
      </c>
      <c r="C18" s="24" t="s">
        <v>247</v>
      </c>
      <c r="D18" s="24"/>
      <c r="E18" s="24"/>
      <c r="F18" s="24" t="s">
        <v>424</v>
      </c>
      <c r="G18" s="12" t="s">
        <v>728</v>
      </c>
      <c r="H18" s="24" t="s">
        <v>83</v>
      </c>
      <c r="I18" s="12" t="s">
        <v>728</v>
      </c>
      <c r="J18" s="24"/>
      <c r="K18" s="24"/>
      <c r="L18" s="12" t="s">
        <v>517</v>
      </c>
      <c r="M18" s="33" t="s">
        <v>727</v>
      </c>
    </row>
    <row r="19" spans="1:13" ht="15.75" x14ac:dyDescent="0.25">
      <c r="A19" s="17">
        <v>6</v>
      </c>
      <c r="B19" s="24" t="s">
        <v>96</v>
      </c>
      <c r="C19" s="24" t="s">
        <v>248</v>
      </c>
      <c r="D19" s="24"/>
      <c r="E19" s="24"/>
      <c r="F19" s="24" t="s">
        <v>425</v>
      </c>
      <c r="G19" s="12" t="s">
        <v>728</v>
      </c>
      <c r="H19" s="24" t="s">
        <v>83</v>
      </c>
      <c r="I19" s="12" t="s">
        <v>728</v>
      </c>
      <c r="J19" s="24"/>
      <c r="K19" s="24"/>
      <c r="L19" s="12" t="s">
        <v>518</v>
      </c>
      <c r="M19" s="33" t="s">
        <v>807</v>
      </c>
    </row>
    <row r="20" spans="1:13" ht="15.75" x14ac:dyDescent="0.25">
      <c r="A20" s="17">
        <v>7</v>
      </c>
      <c r="B20" s="24" t="s">
        <v>508</v>
      </c>
      <c r="C20" s="24" t="s">
        <v>249</v>
      </c>
      <c r="D20" s="24"/>
      <c r="E20" s="24"/>
      <c r="F20" s="24" t="s">
        <v>425</v>
      </c>
      <c r="G20" s="12" t="s">
        <v>728</v>
      </c>
      <c r="H20" s="24" t="s">
        <v>83</v>
      </c>
      <c r="I20" s="12" t="s">
        <v>728</v>
      </c>
      <c r="J20" s="24"/>
      <c r="K20" s="24"/>
      <c r="L20" s="12" t="s">
        <v>519</v>
      </c>
      <c r="M20" s="33" t="s">
        <v>808</v>
      </c>
    </row>
    <row r="21" spans="1:13" ht="25.5" x14ac:dyDescent="0.25">
      <c r="A21" s="17">
        <v>8</v>
      </c>
      <c r="B21" s="24" t="s">
        <v>97</v>
      </c>
      <c r="C21" s="24" t="s">
        <v>250</v>
      </c>
      <c r="D21" s="24"/>
      <c r="E21" s="24"/>
      <c r="F21" s="24" t="s">
        <v>65</v>
      </c>
      <c r="G21" s="12" t="s">
        <v>728</v>
      </c>
      <c r="H21" s="24" t="s">
        <v>83</v>
      </c>
      <c r="I21" s="12" t="s">
        <v>728</v>
      </c>
      <c r="J21" s="24" t="s">
        <v>442</v>
      </c>
      <c r="K21" s="25" t="s">
        <v>443</v>
      </c>
      <c r="L21" s="12" t="s">
        <v>520</v>
      </c>
      <c r="M21" s="33" t="s">
        <v>818</v>
      </c>
    </row>
    <row r="22" spans="1:13" ht="15.75" x14ac:dyDescent="0.25">
      <c r="A22" s="17">
        <v>9</v>
      </c>
      <c r="B22" s="24" t="s">
        <v>98</v>
      </c>
      <c r="C22" s="24" t="s">
        <v>251</v>
      </c>
      <c r="D22" s="24"/>
      <c r="E22" s="24"/>
      <c r="F22" s="24" t="s">
        <v>426</v>
      </c>
      <c r="G22" s="12" t="s">
        <v>728</v>
      </c>
      <c r="H22" s="24" t="s">
        <v>83</v>
      </c>
      <c r="I22" s="12" t="s">
        <v>728</v>
      </c>
      <c r="J22" s="24"/>
      <c r="K22" s="24"/>
      <c r="L22" s="12" t="s">
        <v>521</v>
      </c>
      <c r="M22" s="33" t="s">
        <v>817</v>
      </c>
    </row>
    <row r="23" spans="1:13" ht="15.75" x14ac:dyDescent="0.25">
      <c r="A23" s="17">
        <v>10</v>
      </c>
      <c r="B23" s="24" t="s">
        <v>99</v>
      </c>
      <c r="C23" s="24" t="s">
        <v>252</v>
      </c>
      <c r="D23" s="23"/>
      <c r="E23" s="24"/>
      <c r="F23" s="24" t="s">
        <v>426</v>
      </c>
      <c r="G23" s="12"/>
      <c r="H23" s="24"/>
      <c r="I23" s="12" t="s">
        <v>728</v>
      </c>
      <c r="J23" s="24"/>
      <c r="K23" s="24"/>
      <c r="L23" s="12" t="s">
        <v>522</v>
      </c>
      <c r="M23" s="33" t="s">
        <v>816</v>
      </c>
    </row>
    <row r="24" spans="1:13" ht="15.75" x14ac:dyDescent="0.25">
      <c r="A24" s="17">
        <v>11</v>
      </c>
      <c r="B24" s="24" t="s">
        <v>100</v>
      </c>
      <c r="C24" s="24" t="s">
        <v>253</v>
      </c>
      <c r="D24" s="24"/>
      <c r="E24" s="24"/>
      <c r="F24" s="24" t="s">
        <v>65</v>
      </c>
      <c r="G24" s="12" t="s">
        <v>728</v>
      </c>
      <c r="H24" s="24" t="s">
        <v>83</v>
      </c>
      <c r="I24" s="12" t="s">
        <v>728</v>
      </c>
      <c r="J24" s="24"/>
      <c r="K24" s="24" t="s">
        <v>444</v>
      </c>
      <c r="L24" s="12" t="s">
        <v>523</v>
      </c>
      <c r="M24" s="33" t="s">
        <v>815</v>
      </c>
    </row>
    <row r="25" spans="1:13" ht="15.75" x14ac:dyDescent="0.25">
      <c r="A25" s="17">
        <v>12</v>
      </c>
      <c r="B25" s="24" t="s">
        <v>509</v>
      </c>
      <c r="C25" s="24" t="s">
        <v>254</v>
      </c>
      <c r="D25" s="24" t="s">
        <v>487</v>
      </c>
      <c r="E25" s="24" t="s">
        <v>484</v>
      </c>
      <c r="F25" s="24" t="s">
        <v>426</v>
      </c>
      <c r="G25" s="12"/>
      <c r="H25" s="24"/>
      <c r="I25" s="12" t="s">
        <v>728</v>
      </c>
      <c r="J25" s="24"/>
      <c r="K25" s="24"/>
      <c r="L25" s="12" t="s">
        <v>521</v>
      </c>
      <c r="M25" s="24" t="s">
        <v>814</v>
      </c>
    </row>
    <row r="26" spans="1:13" ht="15.75" x14ac:dyDescent="0.25">
      <c r="A26" s="17">
        <v>13</v>
      </c>
      <c r="B26" s="24" t="s">
        <v>510</v>
      </c>
      <c r="C26" s="24" t="s">
        <v>255</v>
      </c>
      <c r="D26" s="24" t="s">
        <v>487</v>
      </c>
      <c r="E26" s="24" t="s">
        <v>484</v>
      </c>
      <c r="F26" s="24" t="s">
        <v>426</v>
      </c>
      <c r="G26" s="12"/>
      <c r="H26" s="24"/>
      <c r="I26" s="12" t="s">
        <v>728</v>
      </c>
      <c r="J26" s="24"/>
      <c r="K26" s="24"/>
      <c r="L26" s="12" t="s">
        <v>524</v>
      </c>
      <c r="M26" s="33" t="s">
        <v>812</v>
      </c>
    </row>
    <row r="27" spans="1:13" ht="15.75" x14ac:dyDescent="0.25">
      <c r="A27" s="17">
        <v>14</v>
      </c>
      <c r="B27" s="24" t="s">
        <v>101</v>
      </c>
      <c r="C27" s="24" t="s">
        <v>256</v>
      </c>
      <c r="D27" s="24" t="s">
        <v>487</v>
      </c>
      <c r="E27" s="24" t="s">
        <v>484</v>
      </c>
      <c r="F27" s="24" t="s">
        <v>426</v>
      </c>
      <c r="G27" s="12"/>
      <c r="H27" s="24"/>
      <c r="I27" s="12" t="s">
        <v>728</v>
      </c>
      <c r="J27" s="24"/>
      <c r="K27" s="24"/>
      <c r="L27" s="12" t="s">
        <v>525</v>
      </c>
      <c r="M27" s="33" t="s">
        <v>813</v>
      </c>
    </row>
    <row r="28" spans="1:13" ht="15.75" x14ac:dyDescent="0.25">
      <c r="A28" s="17">
        <v>15</v>
      </c>
      <c r="B28" s="24" t="s">
        <v>511</v>
      </c>
      <c r="C28" s="24" t="s">
        <v>257</v>
      </c>
      <c r="D28" s="24" t="s">
        <v>487</v>
      </c>
      <c r="E28" s="24" t="s">
        <v>484</v>
      </c>
      <c r="F28" s="24" t="s">
        <v>426</v>
      </c>
      <c r="G28" s="12"/>
      <c r="H28" s="24"/>
      <c r="I28" s="12" t="s">
        <v>728</v>
      </c>
      <c r="J28" s="24"/>
      <c r="K28" s="24"/>
      <c r="L28" s="12" t="s">
        <v>526</v>
      </c>
      <c r="M28" s="33" t="s">
        <v>824</v>
      </c>
    </row>
    <row r="29" spans="1:13" ht="15.75" x14ac:dyDescent="0.25">
      <c r="A29" s="17">
        <v>16</v>
      </c>
      <c r="B29" s="24" t="s">
        <v>102</v>
      </c>
      <c r="C29" s="24" t="s">
        <v>258</v>
      </c>
      <c r="D29" s="24" t="s">
        <v>487</v>
      </c>
      <c r="E29" s="24" t="s">
        <v>484</v>
      </c>
      <c r="F29" s="24" t="s">
        <v>426</v>
      </c>
      <c r="G29" s="12"/>
      <c r="H29" s="24"/>
      <c r="I29" s="12" t="s">
        <v>728</v>
      </c>
      <c r="J29" s="24"/>
      <c r="K29" s="24"/>
      <c r="L29" s="12" t="s">
        <v>527</v>
      </c>
      <c r="M29" s="33" t="s">
        <v>811</v>
      </c>
    </row>
    <row r="30" spans="1:13" ht="15.75" x14ac:dyDescent="0.25">
      <c r="A30" s="17">
        <v>17</v>
      </c>
      <c r="B30" s="24" t="s">
        <v>103</v>
      </c>
      <c r="C30" s="24" t="s">
        <v>259</v>
      </c>
      <c r="D30" s="24" t="s">
        <v>487</v>
      </c>
      <c r="E30" s="24" t="s">
        <v>484</v>
      </c>
      <c r="F30" s="24" t="s">
        <v>426</v>
      </c>
      <c r="G30" s="12"/>
      <c r="H30" s="24"/>
      <c r="I30" s="12" t="s">
        <v>728</v>
      </c>
      <c r="J30" s="24"/>
      <c r="K30" s="24"/>
      <c r="L30" s="12" t="s">
        <v>528</v>
      </c>
      <c r="M30" s="33" t="s">
        <v>810</v>
      </c>
    </row>
    <row r="31" spans="1:13" ht="15.75" x14ac:dyDescent="0.25">
      <c r="A31" s="17">
        <v>18</v>
      </c>
      <c r="B31" s="24" t="s">
        <v>104</v>
      </c>
      <c r="C31" s="24" t="s">
        <v>488</v>
      </c>
      <c r="D31" s="24" t="s">
        <v>489</v>
      </c>
      <c r="E31" s="24" t="s">
        <v>485</v>
      </c>
      <c r="F31" s="24" t="s">
        <v>66</v>
      </c>
      <c r="G31" s="12"/>
      <c r="H31" s="24"/>
      <c r="I31" s="12" t="s">
        <v>728</v>
      </c>
      <c r="J31" s="24"/>
      <c r="K31" s="24"/>
      <c r="L31" s="12" t="s">
        <v>529</v>
      </c>
      <c r="M31" s="33" t="s">
        <v>820</v>
      </c>
    </row>
    <row r="32" spans="1:13" ht="15.75" x14ac:dyDescent="0.25">
      <c r="A32" s="17">
        <v>19</v>
      </c>
      <c r="B32" s="24" t="s">
        <v>105</v>
      </c>
      <c r="C32" s="24" t="s">
        <v>260</v>
      </c>
      <c r="D32" s="24" t="s">
        <v>489</v>
      </c>
      <c r="E32" s="24" t="s">
        <v>486</v>
      </c>
      <c r="F32" s="24" t="s">
        <v>426</v>
      </c>
      <c r="G32" s="12"/>
      <c r="H32" s="24"/>
      <c r="I32" s="12" t="s">
        <v>728</v>
      </c>
      <c r="J32" s="24"/>
      <c r="K32" s="24"/>
      <c r="L32" s="12" t="s">
        <v>530</v>
      </c>
      <c r="M32" s="33" t="s">
        <v>821</v>
      </c>
    </row>
    <row r="33" spans="1:13" ht="15.75" x14ac:dyDescent="0.25">
      <c r="A33" s="17">
        <v>20</v>
      </c>
      <c r="B33" s="24" t="s">
        <v>106</v>
      </c>
      <c r="C33" s="24" t="s">
        <v>490</v>
      </c>
      <c r="D33" s="24" t="s">
        <v>491</v>
      </c>
      <c r="E33" s="24" t="s">
        <v>485</v>
      </c>
      <c r="F33" s="24" t="s">
        <v>66</v>
      </c>
      <c r="G33" s="12"/>
      <c r="H33" s="24"/>
      <c r="I33" s="12" t="s">
        <v>728</v>
      </c>
      <c r="J33" s="24"/>
      <c r="K33" s="24"/>
      <c r="L33" s="12" t="s">
        <v>531</v>
      </c>
      <c r="M33" s="33" t="s">
        <v>822</v>
      </c>
    </row>
    <row r="34" spans="1:13" ht="15.75" x14ac:dyDescent="0.25">
      <c r="A34" s="17">
        <v>21</v>
      </c>
      <c r="B34" s="24" t="s">
        <v>107</v>
      </c>
      <c r="C34" s="24" t="s">
        <v>261</v>
      </c>
      <c r="D34" s="24" t="s">
        <v>491</v>
      </c>
      <c r="E34" s="24" t="s">
        <v>486</v>
      </c>
      <c r="F34" s="24" t="s">
        <v>426</v>
      </c>
      <c r="G34" s="12"/>
      <c r="H34" s="24"/>
      <c r="I34" s="12" t="s">
        <v>728</v>
      </c>
      <c r="J34" s="24"/>
      <c r="K34" s="24"/>
      <c r="L34" s="12" t="s">
        <v>532</v>
      </c>
      <c r="M34" s="33" t="s">
        <v>823</v>
      </c>
    </row>
    <row r="35" spans="1:13" ht="15.75" x14ac:dyDescent="0.25">
      <c r="A35" s="17">
        <v>22</v>
      </c>
      <c r="B35" s="24" t="s">
        <v>108</v>
      </c>
      <c r="C35" s="24" t="s">
        <v>492</v>
      </c>
      <c r="D35" s="24" t="s">
        <v>493</v>
      </c>
      <c r="E35" s="24" t="s">
        <v>485</v>
      </c>
      <c r="F35" s="24" t="s">
        <v>66</v>
      </c>
      <c r="G35" s="12"/>
      <c r="H35" s="24"/>
      <c r="I35" s="12" t="s">
        <v>728</v>
      </c>
      <c r="J35" s="24"/>
      <c r="K35" s="24"/>
      <c r="L35" s="12" t="s">
        <v>533</v>
      </c>
      <c r="M35" s="33" t="s">
        <v>826</v>
      </c>
    </row>
    <row r="36" spans="1:13" ht="15.75" x14ac:dyDescent="0.25">
      <c r="A36" s="17">
        <v>23</v>
      </c>
      <c r="B36" s="24" t="s">
        <v>109</v>
      </c>
      <c r="C36" s="24" t="s">
        <v>262</v>
      </c>
      <c r="D36" s="24" t="s">
        <v>493</v>
      </c>
      <c r="E36" s="24" t="s">
        <v>486</v>
      </c>
      <c r="F36" s="24" t="s">
        <v>426</v>
      </c>
      <c r="G36" s="12"/>
      <c r="H36" s="24"/>
      <c r="I36" s="12" t="s">
        <v>728</v>
      </c>
      <c r="J36" s="24"/>
      <c r="K36" s="24"/>
      <c r="L36" s="12" t="s">
        <v>534</v>
      </c>
      <c r="M36" s="33" t="s">
        <v>825</v>
      </c>
    </row>
    <row r="37" spans="1:13" ht="15.75" x14ac:dyDescent="0.25">
      <c r="A37" s="17">
        <v>24</v>
      </c>
      <c r="B37" s="24" t="s">
        <v>110</v>
      </c>
      <c r="C37" s="24" t="s">
        <v>494</v>
      </c>
      <c r="D37" s="24" t="s">
        <v>495</v>
      </c>
      <c r="E37" s="24" t="s">
        <v>485</v>
      </c>
      <c r="F37" s="24" t="s">
        <v>66</v>
      </c>
      <c r="G37" s="12"/>
      <c r="H37" s="24"/>
      <c r="I37" s="12" t="s">
        <v>728</v>
      </c>
      <c r="J37" s="24"/>
      <c r="K37" s="24"/>
      <c r="L37" s="12" t="s">
        <v>535</v>
      </c>
      <c r="M37" s="33" t="s">
        <v>827</v>
      </c>
    </row>
    <row r="38" spans="1:13" ht="15.75" x14ac:dyDescent="0.25">
      <c r="A38" s="17">
        <v>25</v>
      </c>
      <c r="B38" s="24" t="s">
        <v>111</v>
      </c>
      <c r="C38" s="24" t="s">
        <v>263</v>
      </c>
      <c r="D38" s="24" t="s">
        <v>495</v>
      </c>
      <c r="E38" s="24" t="s">
        <v>486</v>
      </c>
      <c r="F38" s="24" t="s">
        <v>427</v>
      </c>
      <c r="G38" s="12"/>
      <c r="H38" s="24"/>
      <c r="I38" s="12" t="s">
        <v>728</v>
      </c>
      <c r="J38" s="24"/>
      <c r="K38" s="24"/>
      <c r="L38" s="12" t="s">
        <v>536</v>
      </c>
      <c r="M38" s="33" t="s">
        <v>828</v>
      </c>
    </row>
    <row r="39" spans="1:13" ht="15.75" x14ac:dyDescent="0.25">
      <c r="A39" s="17">
        <v>26</v>
      </c>
      <c r="B39" s="24" t="s">
        <v>112</v>
      </c>
      <c r="C39" s="24" t="s">
        <v>264</v>
      </c>
      <c r="D39" s="24"/>
      <c r="E39" s="24"/>
      <c r="F39" s="24" t="s">
        <v>65</v>
      </c>
      <c r="G39" s="12" t="s">
        <v>84</v>
      </c>
      <c r="H39" s="24" t="s">
        <v>83</v>
      </c>
      <c r="I39" s="12" t="s">
        <v>728</v>
      </c>
      <c r="J39" s="24"/>
      <c r="K39" s="24"/>
      <c r="L39" s="12" t="s">
        <v>537</v>
      </c>
      <c r="M39" s="33" t="s">
        <v>829</v>
      </c>
    </row>
    <row r="40" spans="1:13" ht="15.75" x14ac:dyDescent="0.25">
      <c r="A40" s="17">
        <v>27</v>
      </c>
      <c r="B40" s="24" t="s">
        <v>113</v>
      </c>
      <c r="C40" s="24" t="s">
        <v>265</v>
      </c>
      <c r="D40" s="24"/>
      <c r="E40" s="24"/>
      <c r="F40" s="24" t="s">
        <v>66</v>
      </c>
      <c r="G40" s="12"/>
      <c r="H40" s="24"/>
      <c r="I40" s="12" t="s">
        <v>728</v>
      </c>
      <c r="J40" s="24" t="s">
        <v>445</v>
      </c>
      <c r="K40" s="24"/>
      <c r="L40" s="12" t="s">
        <v>538</v>
      </c>
      <c r="M40" s="33" t="s">
        <v>741</v>
      </c>
    </row>
    <row r="41" spans="1:13" ht="38.25" x14ac:dyDescent="0.25">
      <c r="A41" s="17">
        <v>28</v>
      </c>
      <c r="B41" s="24" t="s">
        <v>114</v>
      </c>
      <c r="C41" s="24" t="s">
        <v>266</v>
      </c>
      <c r="D41" s="24"/>
      <c r="E41" s="24"/>
      <c r="F41" s="24" t="s">
        <v>65</v>
      </c>
      <c r="G41" s="12"/>
      <c r="H41" s="24"/>
      <c r="I41" s="12" t="s">
        <v>728</v>
      </c>
      <c r="J41" s="24" t="s">
        <v>446</v>
      </c>
      <c r="K41" s="25" t="s">
        <v>447</v>
      </c>
      <c r="L41" s="12" t="s">
        <v>539</v>
      </c>
      <c r="M41" s="33" t="s">
        <v>742</v>
      </c>
    </row>
    <row r="42" spans="1:13" ht="15.75" x14ac:dyDescent="0.25">
      <c r="A42" s="17">
        <v>29</v>
      </c>
      <c r="B42" s="24" t="s">
        <v>115</v>
      </c>
      <c r="C42" s="24" t="s">
        <v>267</v>
      </c>
      <c r="D42" s="24"/>
      <c r="E42" s="24"/>
      <c r="F42" s="24" t="s">
        <v>66</v>
      </c>
      <c r="G42" s="12"/>
      <c r="H42" s="24"/>
      <c r="I42" s="12" t="s">
        <v>728</v>
      </c>
      <c r="J42" s="24"/>
      <c r="K42" s="24"/>
      <c r="L42" s="12" t="s">
        <v>540</v>
      </c>
      <c r="M42" s="33" t="s">
        <v>743</v>
      </c>
    </row>
    <row r="43" spans="1:13" ht="76.5" x14ac:dyDescent="0.25">
      <c r="A43" s="17">
        <v>30</v>
      </c>
      <c r="B43" s="24" t="s">
        <v>116</v>
      </c>
      <c r="C43" s="24" t="s">
        <v>268</v>
      </c>
      <c r="D43" s="24"/>
      <c r="E43" s="24"/>
      <c r="F43" s="24" t="s">
        <v>65</v>
      </c>
      <c r="G43" s="12"/>
      <c r="H43" s="24"/>
      <c r="I43" s="12" t="s">
        <v>728</v>
      </c>
      <c r="J43" s="24" t="s">
        <v>448</v>
      </c>
      <c r="K43" s="25" t="s">
        <v>449</v>
      </c>
      <c r="L43" s="12" t="s">
        <v>541</v>
      </c>
      <c r="M43" s="33" t="s">
        <v>744</v>
      </c>
    </row>
    <row r="44" spans="1:13" ht="15.75" x14ac:dyDescent="0.25">
      <c r="A44" s="17">
        <v>31</v>
      </c>
      <c r="B44" s="24" t="s">
        <v>117</v>
      </c>
      <c r="C44" s="24" t="s">
        <v>269</v>
      </c>
      <c r="D44" s="24"/>
      <c r="E44" s="24"/>
      <c r="F44" s="24" t="s">
        <v>66</v>
      </c>
      <c r="G44" s="12"/>
      <c r="H44" s="24"/>
      <c r="I44" s="12" t="s">
        <v>728</v>
      </c>
      <c r="J44" s="24" t="s">
        <v>450</v>
      </c>
      <c r="K44" s="24"/>
      <c r="L44" s="12" t="s">
        <v>542</v>
      </c>
      <c r="M44" s="33" t="s">
        <v>745</v>
      </c>
    </row>
    <row r="45" spans="1:13" ht="25.5" x14ac:dyDescent="0.25">
      <c r="A45" s="17">
        <v>32</v>
      </c>
      <c r="B45" s="24" t="s">
        <v>118</v>
      </c>
      <c r="C45" s="24" t="s">
        <v>270</v>
      </c>
      <c r="D45" s="24"/>
      <c r="E45" s="24"/>
      <c r="F45" s="24" t="s">
        <v>65</v>
      </c>
      <c r="G45" s="12" t="s">
        <v>728</v>
      </c>
      <c r="H45" s="24" t="s">
        <v>83</v>
      </c>
      <c r="I45" s="12" t="s">
        <v>728</v>
      </c>
      <c r="J45" s="24" t="s">
        <v>442</v>
      </c>
      <c r="K45" s="25" t="s">
        <v>451</v>
      </c>
      <c r="L45" s="12" t="s">
        <v>543</v>
      </c>
      <c r="M45" s="33" t="s">
        <v>830</v>
      </c>
    </row>
    <row r="46" spans="1:13" ht="15.75" x14ac:dyDescent="0.25">
      <c r="A46" s="17">
        <v>33</v>
      </c>
      <c r="B46" s="24" t="s">
        <v>119</v>
      </c>
      <c r="C46" s="24" t="s">
        <v>271</v>
      </c>
      <c r="D46" s="24"/>
      <c r="E46" s="24"/>
      <c r="F46" s="24" t="s">
        <v>428</v>
      </c>
      <c r="G46" s="12" t="s">
        <v>84</v>
      </c>
      <c r="H46" s="24" t="s">
        <v>83</v>
      </c>
      <c r="I46" s="12" t="s">
        <v>728</v>
      </c>
      <c r="J46" s="24"/>
      <c r="K46" s="24"/>
      <c r="L46" s="12" t="s">
        <v>544</v>
      </c>
      <c r="M46" s="33" t="s">
        <v>746</v>
      </c>
    </row>
    <row r="47" spans="1:13" ht="15.75" x14ac:dyDescent="0.25">
      <c r="A47" s="17">
        <v>34</v>
      </c>
      <c r="B47" s="24" t="s">
        <v>120</v>
      </c>
      <c r="C47" s="24" t="s">
        <v>272</v>
      </c>
      <c r="E47" s="24"/>
      <c r="F47" s="24" t="s">
        <v>66</v>
      </c>
      <c r="H47" s="24"/>
      <c r="I47" s="12" t="s">
        <v>728</v>
      </c>
      <c r="J47" s="24" t="s">
        <v>452</v>
      </c>
      <c r="K47" s="24"/>
      <c r="L47" s="12" t="s">
        <v>545</v>
      </c>
      <c r="M47" s="33" t="s">
        <v>747</v>
      </c>
    </row>
    <row r="48" spans="1:13" ht="15.75" x14ac:dyDescent="0.25">
      <c r="A48" s="17">
        <v>35</v>
      </c>
      <c r="B48" s="24" t="s">
        <v>121</v>
      </c>
      <c r="C48" s="24" t="s">
        <v>273</v>
      </c>
      <c r="E48" s="24"/>
      <c r="F48" s="24" t="s">
        <v>427</v>
      </c>
      <c r="H48" s="24"/>
      <c r="I48" s="12" t="s">
        <v>728</v>
      </c>
      <c r="J48" s="24"/>
      <c r="K48" s="24"/>
      <c r="L48" s="12" t="s">
        <v>546</v>
      </c>
      <c r="M48" s="33" t="s">
        <v>748</v>
      </c>
    </row>
    <row r="49" spans="1:13" ht="15.75" x14ac:dyDescent="0.25">
      <c r="A49" s="17">
        <v>36</v>
      </c>
      <c r="B49" s="24" t="s">
        <v>122</v>
      </c>
      <c r="C49" s="24" t="s">
        <v>274</v>
      </c>
      <c r="D49" s="24" t="s">
        <v>496</v>
      </c>
      <c r="E49" s="24" t="s">
        <v>42</v>
      </c>
      <c r="F49" s="24" t="s">
        <v>41</v>
      </c>
      <c r="H49" s="24"/>
      <c r="I49" s="12" t="s">
        <v>728</v>
      </c>
      <c r="J49" s="24"/>
      <c r="K49" s="24"/>
      <c r="L49" s="12" t="s">
        <v>547</v>
      </c>
      <c r="M49" s="33" t="s">
        <v>831</v>
      </c>
    </row>
    <row r="50" spans="1:13" ht="15.75" x14ac:dyDescent="0.25">
      <c r="A50" s="17">
        <v>37</v>
      </c>
      <c r="B50" s="24" t="s">
        <v>123</v>
      </c>
      <c r="C50" s="24" t="s">
        <v>275</v>
      </c>
      <c r="E50" s="24"/>
      <c r="F50" s="24" t="s">
        <v>41</v>
      </c>
      <c r="H50" s="24"/>
      <c r="I50" s="12" t="s">
        <v>728</v>
      </c>
      <c r="J50" s="24"/>
      <c r="K50" s="24"/>
      <c r="L50" s="12" t="s">
        <v>548</v>
      </c>
      <c r="M50" s="33" t="s">
        <v>749</v>
      </c>
    </row>
    <row r="51" spans="1:13" ht="15.75" x14ac:dyDescent="0.25">
      <c r="A51" s="17">
        <v>38</v>
      </c>
      <c r="B51" s="24" t="s">
        <v>124</v>
      </c>
      <c r="C51" s="24" t="s">
        <v>276</v>
      </c>
      <c r="E51" s="24"/>
      <c r="F51" s="24" t="s">
        <v>82</v>
      </c>
      <c r="H51" s="24"/>
      <c r="I51" s="12" t="s">
        <v>728</v>
      </c>
      <c r="J51" s="24"/>
      <c r="K51" s="24"/>
      <c r="L51" s="12" t="s">
        <v>549</v>
      </c>
      <c r="M51" s="33" t="s">
        <v>805</v>
      </c>
    </row>
    <row r="52" spans="1:13" ht="38.25" x14ac:dyDescent="0.25">
      <c r="A52" s="17">
        <v>39</v>
      </c>
      <c r="B52" s="24" t="s">
        <v>125</v>
      </c>
      <c r="C52" s="24" t="s">
        <v>277</v>
      </c>
      <c r="E52" s="24"/>
      <c r="F52" s="24" t="s">
        <v>65</v>
      </c>
      <c r="G52" s="37" t="s">
        <v>728</v>
      </c>
      <c r="H52" s="24" t="s">
        <v>83</v>
      </c>
      <c r="I52" s="12" t="s">
        <v>728</v>
      </c>
      <c r="J52" s="24" t="s">
        <v>446</v>
      </c>
      <c r="K52" s="25" t="s">
        <v>453</v>
      </c>
      <c r="L52" s="31" t="s">
        <v>832</v>
      </c>
      <c r="M52" s="33" t="s">
        <v>835</v>
      </c>
    </row>
    <row r="53" spans="1:13" ht="15.75" x14ac:dyDescent="0.25">
      <c r="A53" s="17">
        <v>40</v>
      </c>
      <c r="B53" s="24" t="s">
        <v>32</v>
      </c>
      <c r="C53" s="24" t="s">
        <v>33</v>
      </c>
      <c r="E53" s="24"/>
      <c r="F53" s="24" t="s">
        <v>41</v>
      </c>
      <c r="H53" s="24"/>
      <c r="I53" s="12" t="s">
        <v>728</v>
      </c>
      <c r="J53" s="24"/>
      <c r="K53" s="24"/>
      <c r="L53" s="12" t="s">
        <v>550</v>
      </c>
      <c r="M53" s="33" t="s">
        <v>85</v>
      </c>
    </row>
    <row r="54" spans="1:13" ht="76.5" x14ac:dyDescent="0.25">
      <c r="A54" s="17">
        <v>41</v>
      </c>
      <c r="B54" s="24" t="s">
        <v>126</v>
      </c>
      <c r="C54" s="24" t="s">
        <v>278</v>
      </c>
      <c r="E54" s="24"/>
      <c r="F54" s="24" t="s">
        <v>65</v>
      </c>
      <c r="H54" s="24"/>
      <c r="I54" s="12" t="s">
        <v>728</v>
      </c>
      <c r="J54" s="24" t="s">
        <v>454</v>
      </c>
      <c r="K54" s="25" t="s">
        <v>455</v>
      </c>
      <c r="L54" s="31" t="s">
        <v>833</v>
      </c>
      <c r="M54" s="33" t="s">
        <v>834</v>
      </c>
    </row>
    <row r="55" spans="1:13" x14ac:dyDescent="0.25">
      <c r="A55" s="17">
        <v>42</v>
      </c>
      <c r="B55" s="24" t="s">
        <v>127</v>
      </c>
      <c r="C55" s="24" t="s">
        <v>279</v>
      </c>
      <c r="E55" s="24"/>
      <c r="F55" s="24" t="s">
        <v>429</v>
      </c>
      <c r="H55" s="24"/>
      <c r="I55" s="12" t="s">
        <v>728</v>
      </c>
      <c r="J55" s="24"/>
      <c r="K55" s="24"/>
      <c r="L55" s="24" t="s">
        <v>127</v>
      </c>
      <c r="M55" s="24" t="s">
        <v>127</v>
      </c>
    </row>
    <row r="56" spans="1:13" x14ac:dyDescent="0.25">
      <c r="A56" s="17">
        <v>43</v>
      </c>
      <c r="B56" s="24" t="s">
        <v>128</v>
      </c>
      <c r="C56" s="24" t="s">
        <v>280</v>
      </c>
      <c r="E56" s="24"/>
      <c r="F56" s="24" t="s">
        <v>66</v>
      </c>
      <c r="H56" s="24"/>
      <c r="I56" s="12" t="s">
        <v>728</v>
      </c>
      <c r="J56" s="24"/>
      <c r="K56" s="24"/>
      <c r="L56" s="24" t="s">
        <v>128</v>
      </c>
      <c r="M56" s="24" t="s">
        <v>128</v>
      </c>
    </row>
    <row r="57" spans="1:13" ht="15.75" x14ac:dyDescent="0.25">
      <c r="A57" s="17">
        <v>44</v>
      </c>
      <c r="B57" s="24" t="s">
        <v>129</v>
      </c>
      <c r="C57" s="24" t="s">
        <v>281</v>
      </c>
      <c r="E57" s="24"/>
      <c r="F57" s="24" t="s">
        <v>425</v>
      </c>
      <c r="H57" s="24"/>
      <c r="I57" s="12" t="s">
        <v>728</v>
      </c>
      <c r="J57" s="24"/>
      <c r="K57" s="24"/>
      <c r="L57" s="12" t="s">
        <v>551</v>
      </c>
      <c r="M57" s="33" t="s">
        <v>836</v>
      </c>
    </row>
    <row r="58" spans="1:13" ht="15.75" x14ac:dyDescent="0.25">
      <c r="A58" s="17">
        <v>45</v>
      </c>
      <c r="B58" s="24" t="s">
        <v>130</v>
      </c>
      <c r="C58" s="24" t="s">
        <v>282</v>
      </c>
      <c r="E58" s="24"/>
      <c r="F58" s="24" t="s">
        <v>65</v>
      </c>
      <c r="H58" s="24"/>
      <c r="I58" s="12" t="s">
        <v>728</v>
      </c>
      <c r="J58" s="24"/>
      <c r="K58" s="24"/>
      <c r="L58" s="35" t="s">
        <v>723</v>
      </c>
      <c r="M58" s="33" t="s">
        <v>837</v>
      </c>
    </row>
    <row r="59" spans="1:13" x14ac:dyDescent="0.25">
      <c r="A59" s="17">
        <v>46</v>
      </c>
      <c r="B59" s="24" t="s">
        <v>131</v>
      </c>
      <c r="C59" s="24" t="s">
        <v>283</v>
      </c>
      <c r="E59" s="24"/>
      <c r="F59" s="24" t="s">
        <v>430</v>
      </c>
      <c r="H59" s="24"/>
      <c r="I59" s="12" t="s">
        <v>728</v>
      </c>
      <c r="J59" s="24"/>
      <c r="K59" s="24"/>
      <c r="L59" s="24" t="s">
        <v>131</v>
      </c>
      <c r="M59" s="24" t="s">
        <v>131</v>
      </c>
    </row>
    <row r="60" spans="1:13" ht="15.75" x14ac:dyDescent="0.25">
      <c r="A60" s="17">
        <v>47</v>
      </c>
      <c r="B60" s="24" t="s">
        <v>132</v>
      </c>
      <c r="C60" s="24" t="s">
        <v>284</v>
      </c>
      <c r="D60" s="24" t="s">
        <v>497</v>
      </c>
      <c r="E60" s="24" t="s">
        <v>42</v>
      </c>
      <c r="F60" s="24" t="s">
        <v>35</v>
      </c>
      <c r="H60" s="24"/>
      <c r="I60" s="12" t="s">
        <v>728</v>
      </c>
      <c r="J60" s="24"/>
      <c r="K60" s="24"/>
      <c r="L60" s="12" t="s">
        <v>552</v>
      </c>
      <c r="M60" s="33" t="s">
        <v>838</v>
      </c>
    </row>
    <row r="61" spans="1:13" ht="15.75" x14ac:dyDescent="0.25">
      <c r="A61" s="17">
        <v>48</v>
      </c>
      <c r="B61" s="24" t="s">
        <v>133</v>
      </c>
      <c r="C61" s="24" t="s">
        <v>285</v>
      </c>
      <c r="E61" s="24"/>
      <c r="F61" s="24" t="s">
        <v>68</v>
      </c>
      <c r="H61" s="24"/>
      <c r="I61" s="12" t="s">
        <v>728</v>
      </c>
      <c r="J61" s="24"/>
      <c r="K61" s="24"/>
      <c r="L61" s="12" t="s">
        <v>553</v>
      </c>
      <c r="M61" s="33" t="s">
        <v>750</v>
      </c>
    </row>
    <row r="62" spans="1:13" ht="15.75" x14ac:dyDescent="0.25">
      <c r="A62" s="17">
        <v>49</v>
      </c>
      <c r="B62" s="24" t="s">
        <v>134</v>
      </c>
      <c r="C62" s="24" t="s">
        <v>286</v>
      </c>
      <c r="E62" s="24"/>
      <c r="F62" s="24" t="s">
        <v>68</v>
      </c>
      <c r="H62" s="24"/>
      <c r="I62" s="12" t="s">
        <v>728</v>
      </c>
      <c r="J62" s="24"/>
      <c r="K62" s="24"/>
      <c r="L62" s="12" t="s">
        <v>554</v>
      </c>
      <c r="M62" s="33" t="s">
        <v>750</v>
      </c>
    </row>
    <row r="63" spans="1:13" ht="15.75" x14ac:dyDescent="0.25">
      <c r="A63" s="17">
        <v>50</v>
      </c>
      <c r="B63" s="24" t="s">
        <v>135</v>
      </c>
      <c r="C63" s="24" t="s">
        <v>287</v>
      </c>
      <c r="D63" s="24" t="s">
        <v>498</v>
      </c>
      <c r="E63" s="24" t="s">
        <v>42</v>
      </c>
      <c r="F63" s="24" t="s">
        <v>40</v>
      </c>
      <c r="H63" s="24"/>
      <c r="I63" s="12" t="s">
        <v>728</v>
      </c>
      <c r="J63" s="24"/>
      <c r="K63" s="24"/>
      <c r="L63" s="12" t="s">
        <v>555</v>
      </c>
      <c r="M63" s="33" t="s">
        <v>839</v>
      </c>
    </row>
    <row r="64" spans="1:13" ht="15.75" x14ac:dyDescent="0.25">
      <c r="A64" s="17">
        <v>51</v>
      </c>
      <c r="B64" s="24" t="s">
        <v>136</v>
      </c>
      <c r="C64" s="24" t="s">
        <v>288</v>
      </c>
      <c r="E64" s="24"/>
      <c r="F64" s="24" t="s">
        <v>431</v>
      </c>
      <c r="H64" s="24"/>
      <c r="I64" s="12" t="s">
        <v>728</v>
      </c>
      <c r="J64" s="24"/>
      <c r="K64" s="24"/>
      <c r="L64" s="12" t="s">
        <v>556</v>
      </c>
      <c r="M64" s="33" t="s">
        <v>840</v>
      </c>
    </row>
    <row r="65" spans="1:13" ht="15.75" x14ac:dyDescent="0.25">
      <c r="A65" s="17">
        <v>52</v>
      </c>
      <c r="B65" s="24" t="s">
        <v>137</v>
      </c>
      <c r="C65" s="24" t="s">
        <v>289</v>
      </c>
      <c r="E65" s="24"/>
      <c r="F65" s="24" t="s">
        <v>431</v>
      </c>
      <c r="H65" s="24"/>
      <c r="I65" s="12" t="s">
        <v>728</v>
      </c>
      <c r="J65" s="24"/>
      <c r="K65" s="24"/>
      <c r="L65" s="12" t="s">
        <v>557</v>
      </c>
      <c r="M65" s="33" t="s">
        <v>841</v>
      </c>
    </row>
    <row r="66" spans="1:13" ht="15.75" x14ac:dyDescent="0.25">
      <c r="A66" s="17">
        <v>53</v>
      </c>
      <c r="B66" s="24" t="s">
        <v>138</v>
      </c>
      <c r="C66" s="24" t="s">
        <v>290</v>
      </c>
      <c r="E66" s="24"/>
      <c r="F66" s="24" t="s">
        <v>430</v>
      </c>
      <c r="H66" s="24"/>
      <c r="I66" s="12" t="s">
        <v>728</v>
      </c>
      <c r="J66" s="24" t="s">
        <v>456</v>
      </c>
      <c r="K66" s="24"/>
      <c r="L66" s="12" t="s">
        <v>558</v>
      </c>
      <c r="M66" s="33" t="s">
        <v>842</v>
      </c>
    </row>
    <row r="67" spans="1:13" ht="15.75" x14ac:dyDescent="0.25">
      <c r="A67" s="17">
        <v>54</v>
      </c>
      <c r="B67" s="24" t="s">
        <v>139</v>
      </c>
      <c r="C67" s="24" t="s">
        <v>291</v>
      </c>
      <c r="E67" s="24"/>
      <c r="F67" s="24" t="s">
        <v>425</v>
      </c>
      <c r="H67" s="24"/>
      <c r="I67" s="12" t="s">
        <v>728</v>
      </c>
      <c r="J67" s="24"/>
      <c r="K67" s="24"/>
      <c r="L67" s="12" t="s">
        <v>559</v>
      </c>
      <c r="M67" s="33" t="s">
        <v>843</v>
      </c>
    </row>
    <row r="68" spans="1:13" ht="15.75" x14ac:dyDescent="0.25">
      <c r="A68" s="17">
        <v>55</v>
      </c>
      <c r="B68" s="24" t="s">
        <v>140</v>
      </c>
      <c r="C68" s="24" t="s">
        <v>292</v>
      </c>
      <c r="E68" s="24"/>
      <c r="F68" s="24" t="s">
        <v>432</v>
      </c>
      <c r="H68" s="24"/>
      <c r="I68" s="12" t="s">
        <v>728</v>
      </c>
      <c r="J68" s="24"/>
      <c r="K68" s="24"/>
      <c r="L68" s="12" t="s">
        <v>560</v>
      </c>
      <c r="M68" s="33" t="s">
        <v>844</v>
      </c>
    </row>
    <row r="69" spans="1:13" ht="15.75" x14ac:dyDescent="0.25">
      <c r="A69" s="17">
        <v>56</v>
      </c>
      <c r="B69" s="24" t="s">
        <v>141</v>
      </c>
      <c r="C69" s="24" t="s">
        <v>293</v>
      </c>
      <c r="E69" s="24"/>
      <c r="F69" s="24" t="s">
        <v>432</v>
      </c>
      <c r="H69" s="24"/>
      <c r="I69" s="12" t="s">
        <v>728</v>
      </c>
      <c r="J69" s="24"/>
      <c r="K69" s="24"/>
      <c r="L69" s="12" t="s">
        <v>561</v>
      </c>
      <c r="M69" s="33" t="s">
        <v>845</v>
      </c>
    </row>
    <row r="70" spans="1:13" ht="15.75" x14ac:dyDescent="0.25">
      <c r="A70" s="17">
        <v>57</v>
      </c>
      <c r="B70" s="24" t="s">
        <v>142</v>
      </c>
      <c r="C70" s="24" t="s">
        <v>294</v>
      </c>
      <c r="E70" s="24"/>
      <c r="F70" s="24" t="s">
        <v>432</v>
      </c>
      <c r="H70" s="24"/>
      <c r="I70" s="12" t="s">
        <v>728</v>
      </c>
      <c r="J70" s="24"/>
      <c r="K70" s="24"/>
      <c r="L70" s="12" t="s">
        <v>562</v>
      </c>
      <c r="M70" s="33" t="s">
        <v>846</v>
      </c>
    </row>
    <row r="71" spans="1:13" ht="15.75" x14ac:dyDescent="0.25">
      <c r="A71" s="17">
        <v>58</v>
      </c>
      <c r="B71" s="24" t="s">
        <v>143</v>
      </c>
      <c r="C71" s="24" t="s">
        <v>295</v>
      </c>
      <c r="E71" s="24"/>
      <c r="F71" s="24" t="s">
        <v>35</v>
      </c>
      <c r="H71" s="24"/>
      <c r="I71" s="12" t="s">
        <v>728</v>
      </c>
      <c r="J71" s="24"/>
      <c r="K71" s="24"/>
      <c r="L71" s="12" t="s">
        <v>563</v>
      </c>
      <c r="M71" s="33" t="s">
        <v>847</v>
      </c>
    </row>
    <row r="72" spans="1:13" ht="15.75" x14ac:dyDescent="0.25">
      <c r="A72" s="17">
        <v>59</v>
      </c>
      <c r="B72" s="24" t="s">
        <v>144</v>
      </c>
      <c r="C72" s="24" t="s">
        <v>296</v>
      </c>
      <c r="E72" s="24"/>
      <c r="F72" s="24" t="s">
        <v>429</v>
      </c>
      <c r="H72" s="24"/>
      <c r="I72" s="12" t="s">
        <v>728</v>
      </c>
      <c r="J72" s="24"/>
      <c r="K72" s="24"/>
      <c r="L72" s="12" t="s">
        <v>564</v>
      </c>
      <c r="M72" s="33" t="s">
        <v>849</v>
      </c>
    </row>
    <row r="73" spans="1:13" ht="15.75" x14ac:dyDescent="0.25">
      <c r="A73" s="17">
        <v>60</v>
      </c>
      <c r="B73" s="24" t="s">
        <v>145</v>
      </c>
      <c r="C73" s="24" t="s">
        <v>297</v>
      </c>
      <c r="E73" s="24"/>
      <c r="F73" s="24" t="s">
        <v>432</v>
      </c>
      <c r="H73" s="24"/>
      <c r="I73" s="12" t="s">
        <v>728</v>
      </c>
      <c r="J73" s="24"/>
      <c r="K73" s="24"/>
      <c r="L73" s="12" t="s">
        <v>565</v>
      </c>
      <c r="M73" s="33" t="s">
        <v>848</v>
      </c>
    </row>
    <row r="74" spans="1:13" ht="15.75" x14ac:dyDescent="0.25">
      <c r="A74" s="17">
        <v>61</v>
      </c>
      <c r="B74" s="24" t="s">
        <v>146</v>
      </c>
      <c r="C74" s="24" t="s">
        <v>298</v>
      </c>
      <c r="E74" s="24"/>
      <c r="F74" s="24" t="s">
        <v>433</v>
      </c>
      <c r="H74" s="24"/>
      <c r="I74" s="12" t="s">
        <v>728</v>
      </c>
      <c r="J74" s="24"/>
      <c r="K74" s="24"/>
      <c r="L74" s="12" t="s">
        <v>566</v>
      </c>
      <c r="M74" s="33" t="s">
        <v>751</v>
      </c>
    </row>
    <row r="75" spans="1:13" ht="15.75" x14ac:dyDescent="0.25">
      <c r="A75" s="17">
        <v>62</v>
      </c>
      <c r="B75" s="24" t="s">
        <v>147</v>
      </c>
      <c r="C75" s="24" t="s">
        <v>299</v>
      </c>
      <c r="E75" s="24"/>
      <c r="F75" s="24" t="s">
        <v>433</v>
      </c>
      <c r="H75" s="24"/>
      <c r="I75" s="12" t="s">
        <v>728</v>
      </c>
      <c r="J75" s="24"/>
      <c r="K75" s="24"/>
      <c r="L75" s="12" t="s">
        <v>567</v>
      </c>
      <c r="M75" s="33" t="s">
        <v>752</v>
      </c>
    </row>
    <row r="76" spans="1:13" ht="38.25" x14ac:dyDescent="0.25">
      <c r="A76" s="17">
        <v>63</v>
      </c>
      <c r="B76" s="24" t="s">
        <v>148</v>
      </c>
      <c r="C76" s="24" t="s">
        <v>300</v>
      </c>
      <c r="E76" s="24"/>
      <c r="F76" s="24" t="s">
        <v>65</v>
      </c>
      <c r="H76" s="24"/>
      <c r="I76" s="12" t="s">
        <v>728</v>
      </c>
      <c r="J76" s="24" t="s">
        <v>446</v>
      </c>
      <c r="K76" s="25" t="s">
        <v>447</v>
      </c>
      <c r="L76" s="12" t="s">
        <v>568</v>
      </c>
      <c r="M76" s="33" t="s">
        <v>753</v>
      </c>
    </row>
    <row r="77" spans="1:13" ht="15.75" x14ac:dyDescent="0.25">
      <c r="A77" s="17">
        <v>64</v>
      </c>
      <c r="B77" s="24" t="s">
        <v>149</v>
      </c>
      <c r="C77" s="24" t="s">
        <v>301</v>
      </c>
      <c r="E77" s="24"/>
      <c r="F77" s="24" t="s">
        <v>430</v>
      </c>
      <c r="H77" s="24"/>
      <c r="I77" s="12" t="s">
        <v>728</v>
      </c>
      <c r="J77" s="24" t="s">
        <v>457</v>
      </c>
      <c r="K77" s="24"/>
      <c r="L77" s="12" t="s">
        <v>569</v>
      </c>
      <c r="M77" s="33" t="s">
        <v>754</v>
      </c>
    </row>
    <row r="78" spans="1:13" ht="63.75" x14ac:dyDescent="0.25">
      <c r="A78" s="17">
        <v>65</v>
      </c>
      <c r="B78" s="24" t="s">
        <v>150</v>
      </c>
      <c r="C78" s="24" t="s">
        <v>302</v>
      </c>
      <c r="E78" s="24"/>
      <c r="F78" s="24" t="s">
        <v>65</v>
      </c>
      <c r="H78" s="24"/>
      <c r="I78" s="12" t="s">
        <v>728</v>
      </c>
      <c r="J78" s="24" t="s">
        <v>448</v>
      </c>
      <c r="K78" s="25" t="s">
        <v>458</v>
      </c>
      <c r="L78" s="12" t="s">
        <v>570</v>
      </c>
      <c r="M78" s="33" t="s">
        <v>755</v>
      </c>
    </row>
    <row r="79" spans="1:13" ht="15.75" x14ac:dyDescent="0.25">
      <c r="A79" s="17">
        <v>66</v>
      </c>
      <c r="B79" s="24" t="s">
        <v>151</v>
      </c>
      <c r="C79" s="24" t="s">
        <v>303</v>
      </c>
      <c r="E79" s="24"/>
      <c r="F79" s="24" t="s">
        <v>425</v>
      </c>
      <c r="H79" s="24"/>
      <c r="I79" s="12" t="s">
        <v>728</v>
      </c>
      <c r="J79" s="24"/>
      <c r="K79" s="24"/>
      <c r="L79" s="12" t="s">
        <v>571</v>
      </c>
      <c r="M79" s="33" t="s">
        <v>756</v>
      </c>
    </row>
    <row r="80" spans="1:13" ht="15.75" x14ac:dyDescent="0.25">
      <c r="A80" s="17">
        <v>67</v>
      </c>
      <c r="B80" s="24" t="s">
        <v>152</v>
      </c>
      <c r="C80" s="24" t="s">
        <v>304</v>
      </c>
      <c r="E80" s="24"/>
      <c r="F80" s="24" t="s">
        <v>434</v>
      </c>
      <c r="H80" s="24"/>
      <c r="I80" s="12" t="s">
        <v>728</v>
      </c>
      <c r="J80" s="24"/>
      <c r="K80" s="24"/>
      <c r="L80" s="12" t="s">
        <v>572</v>
      </c>
      <c r="M80" s="33" t="s">
        <v>757</v>
      </c>
    </row>
    <row r="81" spans="1:13" ht="15.75" x14ac:dyDescent="0.25">
      <c r="A81" s="17">
        <v>68</v>
      </c>
      <c r="B81" s="24" t="s">
        <v>153</v>
      </c>
      <c r="C81" s="24" t="s">
        <v>305</v>
      </c>
      <c r="E81" s="24"/>
      <c r="F81" s="24" t="s">
        <v>67</v>
      </c>
      <c r="H81" s="24"/>
      <c r="I81" s="12" t="s">
        <v>728</v>
      </c>
      <c r="J81" s="24"/>
      <c r="K81" s="24"/>
      <c r="L81" s="12" t="s">
        <v>573</v>
      </c>
      <c r="M81" s="33" t="s">
        <v>758</v>
      </c>
    </row>
    <row r="82" spans="1:13" ht="15.75" x14ac:dyDescent="0.25">
      <c r="A82" s="17">
        <v>69</v>
      </c>
      <c r="B82" s="24" t="s">
        <v>154</v>
      </c>
      <c r="C82" s="24" t="s">
        <v>306</v>
      </c>
      <c r="E82" s="24"/>
      <c r="F82" s="24" t="s">
        <v>434</v>
      </c>
      <c r="H82" s="24"/>
      <c r="I82" s="12" t="s">
        <v>728</v>
      </c>
      <c r="J82" s="24"/>
      <c r="K82" s="24"/>
      <c r="L82" s="12" t="s">
        <v>574</v>
      </c>
      <c r="M82" s="33" t="s">
        <v>850</v>
      </c>
    </row>
    <row r="83" spans="1:13" ht="30" x14ac:dyDescent="0.25">
      <c r="A83" s="17">
        <v>70</v>
      </c>
      <c r="B83" s="24" t="s">
        <v>155</v>
      </c>
      <c r="C83" s="24" t="s">
        <v>307</v>
      </c>
      <c r="E83" s="24"/>
      <c r="F83" s="24" t="s">
        <v>425</v>
      </c>
      <c r="H83" s="24"/>
      <c r="I83" s="12" t="s">
        <v>728</v>
      </c>
      <c r="J83" s="24"/>
      <c r="K83" s="24"/>
      <c r="L83" s="12" t="s">
        <v>575</v>
      </c>
      <c r="M83" s="33" t="s">
        <v>759</v>
      </c>
    </row>
    <row r="84" spans="1:13" ht="25.5" x14ac:dyDescent="0.25">
      <c r="A84" s="17">
        <v>71</v>
      </c>
      <c r="B84" s="24" t="s">
        <v>156</v>
      </c>
      <c r="C84" s="24" t="s">
        <v>308</v>
      </c>
      <c r="E84" s="24"/>
      <c r="F84" s="24" t="s">
        <v>65</v>
      </c>
      <c r="H84" s="24"/>
      <c r="I84" s="12" t="s">
        <v>728</v>
      </c>
      <c r="J84" s="24" t="s">
        <v>442</v>
      </c>
      <c r="K84" s="25" t="s">
        <v>459</v>
      </c>
      <c r="L84" s="12" t="s">
        <v>576</v>
      </c>
      <c r="M84" s="33" t="s">
        <v>851</v>
      </c>
    </row>
    <row r="85" spans="1:13" ht="38.25" x14ac:dyDescent="0.25">
      <c r="A85" s="17">
        <v>72</v>
      </c>
      <c r="B85" s="24" t="s">
        <v>157</v>
      </c>
      <c r="C85" s="24" t="s">
        <v>309</v>
      </c>
      <c r="E85" s="24"/>
      <c r="F85" s="24" t="s">
        <v>65</v>
      </c>
      <c r="H85" s="24"/>
      <c r="I85" s="12" t="s">
        <v>728</v>
      </c>
      <c r="J85" s="24" t="s">
        <v>446</v>
      </c>
      <c r="K85" s="25" t="s">
        <v>447</v>
      </c>
      <c r="L85" s="12" t="s">
        <v>577</v>
      </c>
      <c r="M85" s="33" t="s">
        <v>760</v>
      </c>
    </row>
    <row r="86" spans="1:13" ht="25.5" x14ac:dyDescent="0.25">
      <c r="A86" s="17">
        <v>73</v>
      </c>
      <c r="B86" s="24" t="s">
        <v>158</v>
      </c>
      <c r="C86" s="24" t="s">
        <v>310</v>
      </c>
      <c r="E86" s="24"/>
      <c r="F86" s="24" t="s">
        <v>65</v>
      </c>
      <c r="H86" s="24"/>
      <c r="I86" s="12" t="s">
        <v>728</v>
      </c>
      <c r="J86" s="24" t="s">
        <v>442</v>
      </c>
      <c r="K86" s="25" t="s">
        <v>459</v>
      </c>
      <c r="L86" s="12" t="s">
        <v>578</v>
      </c>
      <c r="M86" s="33" t="s">
        <v>761</v>
      </c>
    </row>
    <row r="87" spans="1:13" ht="15.75" x14ac:dyDescent="0.25">
      <c r="A87" s="17">
        <v>74</v>
      </c>
      <c r="B87" s="24" t="s">
        <v>159</v>
      </c>
      <c r="C87" s="24" t="s">
        <v>311</v>
      </c>
      <c r="E87" s="24"/>
      <c r="F87" s="24" t="s">
        <v>435</v>
      </c>
      <c r="H87" s="24"/>
      <c r="I87" s="12" t="s">
        <v>728</v>
      </c>
      <c r="J87" s="24"/>
      <c r="K87" s="24"/>
      <c r="L87" s="12" t="s">
        <v>579</v>
      </c>
      <c r="M87" s="33" t="s">
        <v>762</v>
      </c>
    </row>
    <row r="88" spans="1:13" ht="15.75" x14ac:dyDescent="0.25">
      <c r="A88" s="17">
        <v>75</v>
      </c>
      <c r="B88" s="24" t="s">
        <v>160</v>
      </c>
      <c r="C88" s="24" t="s">
        <v>312</v>
      </c>
      <c r="E88" s="24"/>
      <c r="F88" s="24" t="s">
        <v>432</v>
      </c>
      <c r="H88" s="24"/>
      <c r="I88" s="12" t="s">
        <v>728</v>
      </c>
      <c r="J88" s="24"/>
      <c r="K88" s="24"/>
      <c r="L88" s="12" t="s">
        <v>580</v>
      </c>
      <c r="M88" s="33" t="s">
        <v>763</v>
      </c>
    </row>
    <row r="89" spans="1:13" ht="15.75" x14ac:dyDescent="0.25">
      <c r="A89" s="17">
        <v>76</v>
      </c>
      <c r="B89" s="24" t="s">
        <v>161</v>
      </c>
      <c r="C89" s="24" t="s">
        <v>313</v>
      </c>
      <c r="E89" s="24"/>
      <c r="F89" s="24" t="s">
        <v>430</v>
      </c>
      <c r="H89" s="24"/>
      <c r="I89" s="12" t="s">
        <v>728</v>
      </c>
      <c r="J89" s="24" t="s">
        <v>460</v>
      </c>
      <c r="K89" s="24"/>
      <c r="L89" s="12" t="s">
        <v>581</v>
      </c>
      <c r="M89" s="33" t="s">
        <v>764</v>
      </c>
    </row>
    <row r="90" spans="1:13" ht="25.5" x14ac:dyDescent="0.25">
      <c r="A90" s="17">
        <v>77</v>
      </c>
      <c r="B90" s="24" t="s">
        <v>162</v>
      </c>
      <c r="C90" s="24" t="s">
        <v>314</v>
      </c>
      <c r="E90" s="24"/>
      <c r="F90" s="24" t="s">
        <v>65</v>
      </c>
      <c r="H90" s="24"/>
      <c r="I90" s="12" t="s">
        <v>728</v>
      </c>
      <c r="J90" s="24" t="s">
        <v>442</v>
      </c>
      <c r="K90" s="25" t="s">
        <v>459</v>
      </c>
      <c r="L90" s="12" t="s">
        <v>582</v>
      </c>
      <c r="M90" s="33" t="s">
        <v>852</v>
      </c>
    </row>
    <row r="91" spans="1:13" ht="15.75" x14ac:dyDescent="0.25">
      <c r="A91" s="17">
        <v>78</v>
      </c>
      <c r="B91" s="24" t="s">
        <v>163</v>
      </c>
      <c r="C91" s="24" t="s">
        <v>315</v>
      </c>
      <c r="E91" s="24"/>
      <c r="F91" s="24" t="s">
        <v>425</v>
      </c>
      <c r="H91" s="24"/>
      <c r="I91" s="12" t="s">
        <v>728</v>
      </c>
      <c r="J91" s="24"/>
      <c r="K91" s="24"/>
      <c r="L91" s="12" t="s">
        <v>583</v>
      </c>
      <c r="M91" s="33" t="s">
        <v>765</v>
      </c>
    </row>
    <row r="92" spans="1:13" ht="15.75" x14ac:dyDescent="0.25">
      <c r="A92" s="17">
        <v>79</v>
      </c>
      <c r="B92" s="24" t="s">
        <v>164</v>
      </c>
      <c r="C92" s="24" t="s">
        <v>316</v>
      </c>
      <c r="E92" s="24"/>
      <c r="F92" s="24" t="s">
        <v>68</v>
      </c>
      <c r="H92" s="24"/>
      <c r="I92" s="12" t="s">
        <v>728</v>
      </c>
      <c r="J92" s="24"/>
      <c r="K92" s="24"/>
      <c r="L92" s="12" t="s">
        <v>584</v>
      </c>
      <c r="M92" s="33" t="s">
        <v>766</v>
      </c>
    </row>
    <row r="93" spans="1:13" ht="25.5" x14ac:dyDescent="0.25">
      <c r="A93" s="17">
        <v>80</v>
      </c>
      <c r="B93" s="24" t="s">
        <v>165</v>
      </c>
      <c r="C93" s="24" t="s">
        <v>317</v>
      </c>
      <c r="E93" s="24"/>
      <c r="F93" s="24" t="s">
        <v>65</v>
      </c>
      <c r="H93" s="24"/>
      <c r="I93" s="12" t="s">
        <v>728</v>
      </c>
      <c r="J93" s="24" t="s">
        <v>442</v>
      </c>
      <c r="K93" s="25" t="s">
        <v>461</v>
      </c>
      <c r="L93" s="12" t="s">
        <v>585</v>
      </c>
      <c r="M93" s="33" t="s">
        <v>767</v>
      </c>
    </row>
    <row r="94" spans="1:13" ht="15.75" x14ac:dyDescent="0.25">
      <c r="A94" s="17">
        <v>81</v>
      </c>
      <c r="B94" s="24" t="s">
        <v>166</v>
      </c>
      <c r="C94" s="24" t="s">
        <v>318</v>
      </c>
      <c r="E94" s="24"/>
      <c r="F94" s="24" t="s">
        <v>16</v>
      </c>
      <c r="H94" s="24"/>
      <c r="I94" s="12" t="s">
        <v>728</v>
      </c>
      <c r="J94" s="24" t="s">
        <v>462</v>
      </c>
      <c r="K94" s="24"/>
      <c r="L94" s="12" t="s">
        <v>586</v>
      </c>
      <c r="M94" s="33" t="s">
        <v>768</v>
      </c>
    </row>
    <row r="95" spans="1:13" ht="15.75" x14ac:dyDescent="0.25">
      <c r="A95" s="17">
        <v>82</v>
      </c>
      <c r="B95" s="24" t="s">
        <v>167</v>
      </c>
      <c r="C95" s="24" t="s">
        <v>319</v>
      </c>
      <c r="E95" s="24"/>
      <c r="F95" s="24" t="s">
        <v>425</v>
      </c>
      <c r="H95" s="24"/>
      <c r="I95" s="12" t="s">
        <v>728</v>
      </c>
      <c r="J95" s="24"/>
      <c r="K95" s="24"/>
      <c r="L95" s="12" t="s">
        <v>587</v>
      </c>
      <c r="M95" s="33" t="s">
        <v>769</v>
      </c>
    </row>
    <row r="96" spans="1:13" ht="25.5" x14ac:dyDescent="0.25">
      <c r="A96" s="17">
        <v>83</v>
      </c>
      <c r="B96" s="24" t="s">
        <v>168</v>
      </c>
      <c r="C96" s="24" t="s">
        <v>320</v>
      </c>
      <c r="E96" s="24"/>
      <c r="F96" s="24" t="s">
        <v>65</v>
      </c>
      <c r="H96" s="24"/>
      <c r="I96" s="12" t="s">
        <v>728</v>
      </c>
      <c r="J96" s="24" t="s">
        <v>442</v>
      </c>
      <c r="K96" s="25" t="s">
        <v>459</v>
      </c>
      <c r="L96" s="12" t="s">
        <v>588</v>
      </c>
      <c r="M96" s="33" t="s">
        <v>770</v>
      </c>
    </row>
    <row r="97" spans="1:13" ht="38.25" x14ac:dyDescent="0.25">
      <c r="A97" s="17">
        <v>84</v>
      </c>
      <c r="B97" s="24" t="s">
        <v>169</v>
      </c>
      <c r="C97" s="24" t="s">
        <v>321</v>
      </c>
      <c r="E97" s="24"/>
      <c r="F97" s="24" t="s">
        <v>65</v>
      </c>
      <c r="H97" s="24"/>
      <c r="I97" s="12" t="s">
        <v>728</v>
      </c>
      <c r="J97" s="24" t="s">
        <v>446</v>
      </c>
      <c r="K97" s="25" t="s">
        <v>463</v>
      </c>
      <c r="L97" s="12" t="s">
        <v>589</v>
      </c>
      <c r="M97" s="33" t="s">
        <v>771</v>
      </c>
    </row>
    <row r="98" spans="1:13" ht="15.75" x14ac:dyDescent="0.25">
      <c r="A98" s="17">
        <v>85</v>
      </c>
      <c r="B98" s="24" t="s">
        <v>170</v>
      </c>
      <c r="C98" s="24" t="s">
        <v>322</v>
      </c>
      <c r="E98" s="24"/>
      <c r="F98" s="24" t="s">
        <v>65</v>
      </c>
      <c r="H98" s="24"/>
      <c r="I98" s="12" t="s">
        <v>728</v>
      </c>
      <c r="J98" s="24" t="s">
        <v>464</v>
      </c>
      <c r="K98" s="24"/>
      <c r="L98" s="12" t="s">
        <v>590</v>
      </c>
      <c r="M98" s="33" t="s">
        <v>772</v>
      </c>
    </row>
    <row r="99" spans="1:13" ht="25.5" x14ac:dyDescent="0.25">
      <c r="A99" s="17">
        <v>86</v>
      </c>
      <c r="B99" s="24" t="s">
        <v>171</v>
      </c>
      <c r="C99" s="24" t="s">
        <v>323</v>
      </c>
      <c r="E99" s="24"/>
      <c r="F99" s="24" t="s">
        <v>65</v>
      </c>
      <c r="H99" s="24"/>
      <c r="I99" s="12" t="s">
        <v>728</v>
      </c>
      <c r="J99" s="24" t="s">
        <v>442</v>
      </c>
      <c r="K99" s="25" t="s">
        <v>459</v>
      </c>
      <c r="L99" s="12" t="s">
        <v>591</v>
      </c>
      <c r="M99" s="33" t="s">
        <v>773</v>
      </c>
    </row>
    <row r="100" spans="1:13" ht="30" x14ac:dyDescent="0.25">
      <c r="A100" s="17">
        <v>87</v>
      </c>
      <c r="B100" s="24" t="s">
        <v>172</v>
      </c>
      <c r="C100" s="24" t="s">
        <v>324</v>
      </c>
      <c r="E100" s="24"/>
      <c r="F100" s="24" t="s">
        <v>430</v>
      </c>
      <c r="H100" s="24"/>
      <c r="I100" s="12" t="s">
        <v>728</v>
      </c>
      <c r="J100" s="24" t="s">
        <v>465</v>
      </c>
      <c r="K100" s="24"/>
      <c r="L100" s="12" t="s">
        <v>592</v>
      </c>
      <c r="M100" s="33" t="s">
        <v>853</v>
      </c>
    </row>
    <row r="101" spans="1:13" ht="15.75" x14ac:dyDescent="0.25">
      <c r="A101" s="17">
        <v>88</v>
      </c>
      <c r="B101" s="24" t="s">
        <v>173</v>
      </c>
      <c r="C101" s="24" t="s">
        <v>325</v>
      </c>
      <c r="E101" s="24"/>
      <c r="F101" s="24" t="s">
        <v>435</v>
      </c>
      <c r="H101" s="24"/>
      <c r="I101" s="12" t="s">
        <v>728</v>
      </c>
      <c r="J101" s="24"/>
      <c r="K101" s="24"/>
      <c r="L101" s="12" t="s">
        <v>593</v>
      </c>
      <c r="M101" s="33" t="s">
        <v>854</v>
      </c>
    </row>
    <row r="102" spans="1:13" ht="15.75" x14ac:dyDescent="0.25">
      <c r="A102" s="17">
        <v>89</v>
      </c>
      <c r="B102" s="24" t="s">
        <v>174</v>
      </c>
      <c r="C102" s="24" t="s">
        <v>326</v>
      </c>
      <c r="E102" s="24"/>
      <c r="F102" s="24" t="s">
        <v>425</v>
      </c>
      <c r="H102" s="24"/>
      <c r="I102" s="12" t="s">
        <v>728</v>
      </c>
      <c r="J102" s="24"/>
      <c r="K102" s="24"/>
      <c r="L102" s="12" t="s">
        <v>594</v>
      </c>
      <c r="M102" s="33" t="s">
        <v>774</v>
      </c>
    </row>
    <row r="103" spans="1:13" ht="15.75" x14ac:dyDescent="0.25">
      <c r="A103" s="17">
        <v>90</v>
      </c>
      <c r="B103" s="24" t="s">
        <v>175</v>
      </c>
      <c r="C103" s="24" t="s">
        <v>327</v>
      </c>
      <c r="E103" s="24"/>
      <c r="F103" s="24" t="s">
        <v>434</v>
      </c>
      <c r="H103" s="24"/>
      <c r="I103" s="12" t="s">
        <v>728</v>
      </c>
      <c r="J103" s="24"/>
      <c r="K103" s="24"/>
      <c r="L103" s="12" t="s">
        <v>595</v>
      </c>
      <c r="M103" s="33" t="s">
        <v>775</v>
      </c>
    </row>
    <row r="104" spans="1:13" ht="25.5" x14ac:dyDescent="0.25">
      <c r="A104" s="17">
        <v>91</v>
      </c>
      <c r="B104" s="24" t="s">
        <v>176</v>
      </c>
      <c r="C104" s="24" t="s">
        <v>328</v>
      </c>
      <c r="E104" s="24"/>
      <c r="F104" s="24" t="s">
        <v>65</v>
      </c>
      <c r="H104" s="24"/>
      <c r="I104" s="12" t="s">
        <v>728</v>
      </c>
      <c r="J104" s="24" t="s">
        <v>442</v>
      </c>
      <c r="K104" s="25" t="s">
        <v>459</v>
      </c>
      <c r="L104" s="12" t="s">
        <v>596</v>
      </c>
      <c r="M104" s="33" t="s">
        <v>776</v>
      </c>
    </row>
    <row r="105" spans="1:13" ht="15.75" x14ac:dyDescent="0.25">
      <c r="A105" s="17">
        <v>92</v>
      </c>
      <c r="B105" s="24" t="s">
        <v>177</v>
      </c>
      <c r="C105" s="24" t="s">
        <v>329</v>
      </c>
      <c r="D105" s="24" t="s">
        <v>499</v>
      </c>
      <c r="E105" s="24" t="s">
        <v>42</v>
      </c>
      <c r="F105" s="24" t="s">
        <v>66</v>
      </c>
      <c r="H105" s="24"/>
      <c r="I105" s="12" t="s">
        <v>728</v>
      </c>
      <c r="J105" s="24" t="s">
        <v>466</v>
      </c>
      <c r="K105" s="24"/>
      <c r="L105" s="12" t="s">
        <v>597</v>
      </c>
      <c r="M105" s="33" t="s">
        <v>855</v>
      </c>
    </row>
    <row r="106" spans="1:13" ht="15.75" x14ac:dyDescent="0.25">
      <c r="A106" s="17">
        <v>93</v>
      </c>
      <c r="B106" s="24" t="s">
        <v>178</v>
      </c>
      <c r="C106" s="24" t="s">
        <v>330</v>
      </c>
      <c r="E106" s="24"/>
      <c r="F106" s="24" t="s">
        <v>435</v>
      </c>
      <c r="H106" s="24"/>
      <c r="I106" s="12" t="s">
        <v>728</v>
      </c>
      <c r="J106" s="24"/>
      <c r="K106" s="24"/>
      <c r="L106" s="12" t="s">
        <v>598</v>
      </c>
      <c r="M106" s="33" t="s">
        <v>777</v>
      </c>
    </row>
    <row r="107" spans="1:13" ht="15.75" x14ac:dyDescent="0.25">
      <c r="A107" s="17">
        <v>94</v>
      </c>
      <c r="B107" s="24" t="s">
        <v>179</v>
      </c>
      <c r="C107" s="24" t="s">
        <v>331</v>
      </c>
      <c r="E107" s="24"/>
      <c r="F107" s="24" t="s">
        <v>425</v>
      </c>
      <c r="H107" s="24"/>
      <c r="I107" s="12" t="s">
        <v>728</v>
      </c>
      <c r="J107" s="24"/>
      <c r="K107" s="24"/>
      <c r="L107" s="12" t="s">
        <v>599</v>
      </c>
      <c r="M107" s="33" t="s">
        <v>778</v>
      </c>
    </row>
    <row r="108" spans="1:13" ht="15.75" x14ac:dyDescent="0.25">
      <c r="A108" s="17">
        <v>95</v>
      </c>
      <c r="B108" s="24" t="s">
        <v>180</v>
      </c>
      <c r="C108" s="24" t="s">
        <v>332</v>
      </c>
      <c r="E108" s="24"/>
      <c r="F108" s="24" t="s">
        <v>429</v>
      </c>
      <c r="H108" s="24"/>
      <c r="I108" s="12" t="s">
        <v>728</v>
      </c>
      <c r="J108" s="24"/>
      <c r="K108" s="24"/>
      <c r="L108" s="35" t="s">
        <v>856</v>
      </c>
      <c r="M108" s="33" t="s">
        <v>857</v>
      </c>
    </row>
    <row r="109" spans="1:13" ht="15.75" x14ac:dyDescent="0.25">
      <c r="A109" s="17">
        <v>96</v>
      </c>
      <c r="B109" s="24" t="s">
        <v>181</v>
      </c>
      <c r="C109" s="24" t="s">
        <v>333</v>
      </c>
      <c r="E109" s="24"/>
      <c r="F109" s="24" t="s">
        <v>425</v>
      </c>
      <c r="H109" s="24"/>
      <c r="I109" s="12" t="s">
        <v>728</v>
      </c>
      <c r="J109" s="24"/>
      <c r="K109" s="24"/>
      <c r="L109" s="12" t="s">
        <v>600</v>
      </c>
      <c r="M109" s="33" t="s">
        <v>858</v>
      </c>
    </row>
    <row r="110" spans="1:13" ht="15.75" x14ac:dyDescent="0.25">
      <c r="A110" s="17">
        <v>97</v>
      </c>
      <c r="B110" s="24" t="s">
        <v>182</v>
      </c>
      <c r="C110" s="24" t="s">
        <v>334</v>
      </c>
      <c r="E110" s="24"/>
      <c r="F110" s="24" t="s">
        <v>425</v>
      </c>
      <c r="H110" s="24"/>
      <c r="I110" s="12" t="s">
        <v>728</v>
      </c>
      <c r="J110" s="24"/>
      <c r="K110" s="24"/>
      <c r="L110" s="12" t="s">
        <v>601</v>
      </c>
      <c r="M110" s="33" t="s">
        <v>779</v>
      </c>
    </row>
    <row r="111" spans="1:13" ht="51" x14ac:dyDescent="0.25">
      <c r="A111" s="17">
        <v>98</v>
      </c>
      <c r="B111" s="24" t="s">
        <v>183</v>
      </c>
      <c r="C111" s="24" t="s">
        <v>335</v>
      </c>
      <c r="E111" s="24"/>
      <c r="F111" s="24" t="s">
        <v>82</v>
      </c>
      <c r="H111" s="24"/>
      <c r="I111" s="12" t="s">
        <v>728</v>
      </c>
      <c r="J111" s="24" t="s">
        <v>467</v>
      </c>
      <c r="K111" s="25" t="s">
        <v>468</v>
      </c>
      <c r="L111" s="12" t="s">
        <v>602</v>
      </c>
      <c r="M111" s="33" t="s">
        <v>780</v>
      </c>
    </row>
    <row r="112" spans="1:13" ht="25.5" x14ac:dyDescent="0.25">
      <c r="A112" s="17">
        <v>99</v>
      </c>
      <c r="B112" s="24" t="s">
        <v>184</v>
      </c>
      <c r="C112" s="24" t="s">
        <v>336</v>
      </c>
      <c r="E112" s="24"/>
      <c r="F112" s="24" t="s">
        <v>65</v>
      </c>
      <c r="H112" s="24"/>
      <c r="I112" s="12" t="s">
        <v>728</v>
      </c>
      <c r="J112" s="24" t="s">
        <v>442</v>
      </c>
      <c r="K112" s="25" t="s">
        <v>459</v>
      </c>
      <c r="L112" s="12" t="s">
        <v>603</v>
      </c>
      <c r="M112" s="33" t="s">
        <v>806</v>
      </c>
    </row>
    <row r="113" spans="1:13" ht="63.75" x14ac:dyDescent="0.25">
      <c r="A113" s="17">
        <v>100</v>
      </c>
      <c r="B113" s="24" t="s">
        <v>185</v>
      </c>
      <c r="C113" s="24" t="s">
        <v>337</v>
      </c>
      <c r="E113" s="24"/>
      <c r="F113" s="24" t="s">
        <v>65</v>
      </c>
      <c r="H113" s="24"/>
      <c r="I113" s="12" t="s">
        <v>728</v>
      </c>
      <c r="J113" s="24" t="s">
        <v>448</v>
      </c>
      <c r="K113" s="25" t="s">
        <v>469</v>
      </c>
      <c r="L113" s="12" t="s">
        <v>604</v>
      </c>
      <c r="M113" s="33" t="s">
        <v>781</v>
      </c>
    </row>
    <row r="114" spans="1:13" ht="15.75" x14ac:dyDescent="0.25">
      <c r="A114" s="17">
        <v>101</v>
      </c>
      <c r="B114" s="24" t="s">
        <v>186</v>
      </c>
      <c r="C114" s="24" t="s">
        <v>338</v>
      </c>
      <c r="E114" s="24"/>
      <c r="F114" s="24" t="s">
        <v>434</v>
      </c>
      <c r="H114" s="24"/>
      <c r="I114" s="12" t="s">
        <v>728</v>
      </c>
      <c r="J114" s="24" t="s">
        <v>470</v>
      </c>
      <c r="K114" s="24"/>
      <c r="L114" s="12" t="s">
        <v>605</v>
      </c>
      <c r="M114" s="33" t="s">
        <v>782</v>
      </c>
    </row>
    <row r="115" spans="1:13" ht="15.75" x14ac:dyDescent="0.25">
      <c r="A115" s="17">
        <v>102</v>
      </c>
      <c r="B115" s="24" t="s">
        <v>187</v>
      </c>
      <c r="C115" s="24" t="s">
        <v>339</v>
      </c>
      <c r="E115" s="24"/>
      <c r="F115" s="24" t="s">
        <v>430</v>
      </c>
      <c r="H115" s="24"/>
      <c r="I115" s="12" t="s">
        <v>728</v>
      </c>
      <c r="J115" s="24" t="s">
        <v>471</v>
      </c>
      <c r="K115" s="24"/>
      <c r="L115" s="12" t="s">
        <v>606</v>
      </c>
      <c r="M115" s="33" t="s">
        <v>783</v>
      </c>
    </row>
    <row r="116" spans="1:13" ht="15.75" x14ac:dyDescent="0.25">
      <c r="A116" s="17">
        <v>103</v>
      </c>
      <c r="B116" s="24" t="s">
        <v>188</v>
      </c>
      <c r="C116" s="24" t="s">
        <v>340</v>
      </c>
      <c r="E116" s="24"/>
      <c r="F116" s="24" t="s">
        <v>429</v>
      </c>
      <c r="H116" s="24"/>
      <c r="I116" s="12" t="s">
        <v>728</v>
      </c>
      <c r="J116" s="24"/>
      <c r="K116" s="24"/>
      <c r="L116" s="12" t="s">
        <v>607</v>
      </c>
      <c r="M116" s="33" t="s">
        <v>784</v>
      </c>
    </row>
    <row r="117" spans="1:13" ht="15.75" x14ac:dyDescent="0.25">
      <c r="A117" s="17">
        <v>104</v>
      </c>
      <c r="B117" s="24" t="s">
        <v>189</v>
      </c>
      <c r="C117" s="24" t="s">
        <v>341</v>
      </c>
      <c r="E117" s="24"/>
      <c r="F117" s="24" t="s">
        <v>39</v>
      </c>
      <c r="H117" s="24"/>
      <c r="I117" s="12" t="s">
        <v>728</v>
      </c>
      <c r="J117" s="24"/>
      <c r="K117" s="24"/>
      <c r="L117" s="12" t="s">
        <v>608</v>
      </c>
      <c r="M117" s="33" t="s">
        <v>785</v>
      </c>
    </row>
    <row r="118" spans="1:13" ht="15.75" x14ac:dyDescent="0.25">
      <c r="A118" s="17">
        <v>105</v>
      </c>
      <c r="B118" s="24" t="s">
        <v>190</v>
      </c>
      <c r="C118" s="24" t="s">
        <v>342</v>
      </c>
      <c r="E118" s="24"/>
      <c r="F118" s="24" t="s">
        <v>65</v>
      </c>
      <c r="H118" s="24"/>
      <c r="I118" s="12" t="s">
        <v>728</v>
      </c>
      <c r="J118" s="24" t="s">
        <v>472</v>
      </c>
      <c r="K118" s="24"/>
      <c r="L118" s="12" t="s">
        <v>609</v>
      </c>
      <c r="M118" s="33" t="s">
        <v>786</v>
      </c>
    </row>
    <row r="119" spans="1:13" ht="30" x14ac:dyDescent="0.25">
      <c r="A119" s="17">
        <v>106</v>
      </c>
      <c r="B119" s="24" t="s">
        <v>191</v>
      </c>
      <c r="C119" s="24" t="s">
        <v>343</v>
      </c>
      <c r="E119" s="24"/>
      <c r="F119" s="24" t="s">
        <v>425</v>
      </c>
      <c r="H119" s="24"/>
      <c r="I119" s="12" t="s">
        <v>728</v>
      </c>
      <c r="J119" s="24"/>
      <c r="K119" s="24"/>
      <c r="L119" s="12" t="s">
        <v>610</v>
      </c>
      <c r="M119" s="33" t="s">
        <v>859</v>
      </c>
    </row>
    <row r="120" spans="1:13" ht="63.75" x14ac:dyDescent="0.25">
      <c r="A120" s="17">
        <v>107</v>
      </c>
      <c r="B120" s="24" t="s">
        <v>192</v>
      </c>
      <c r="C120" s="24" t="s">
        <v>344</v>
      </c>
      <c r="E120" s="24"/>
      <c r="F120" s="24" t="s">
        <v>65</v>
      </c>
      <c r="H120" s="24"/>
      <c r="I120" s="12" t="s">
        <v>728</v>
      </c>
      <c r="J120" s="24" t="s">
        <v>448</v>
      </c>
      <c r="K120" s="25" t="s">
        <v>469</v>
      </c>
      <c r="L120" s="12" t="s">
        <v>611</v>
      </c>
      <c r="M120" s="33" t="s">
        <v>860</v>
      </c>
    </row>
    <row r="121" spans="1:13" ht="30" x14ac:dyDescent="0.25">
      <c r="A121" s="17">
        <v>108</v>
      </c>
      <c r="B121" s="24" t="s">
        <v>193</v>
      </c>
      <c r="C121" s="24" t="s">
        <v>345</v>
      </c>
      <c r="E121" s="24"/>
      <c r="F121" s="24" t="s">
        <v>425</v>
      </c>
      <c r="H121" s="24"/>
      <c r="I121" s="12" t="s">
        <v>728</v>
      </c>
      <c r="J121" s="24"/>
      <c r="K121" s="24"/>
      <c r="L121" s="12" t="s">
        <v>612</v>
      </c>
      <c r="M121" s="33" t="s">
        <v>787</v>
      </c>
    </row>
    <row r="122" spans="1:13" ht="25.5" x14ac:dyDescent="0.25">
      <c r="A122" s="17">
        <v>109</v>
      </c>
      <c r="B122" s="24" t="s">
        <v>194</v>
      </c>
      <c r="C122" s="24" t="s">
        <v>346</v>
      </c>
      <c r="E122" s="24"/>
      <c r="F122" s="24" t="s">
        <v>65</v>
      </c>
      <c r="H122" s="24"/>
      <c r="I122" s="12" t="s">
        <v>728</v>
      </c>
      <c r="J122" s="24" t="s">
        <v>442</v>
      </c>
      <c r="K122" s="25" t="s">
        <v>459</v>
      </c>
      <c r="L122" s="12" t="s">
        <v>613</v>
      </c>
      <c r="M122" s="33" t="s">
        <v>861</v>
      </c>
    </row>
    <row r="123" spans="1:13" ht="15.75" x14ac:dyDescent="0.25">
      <c r="A123" s="17">
        <v>110</v>
      </c>
      <c r="B123" s="24" t="s">
        <v>195</v>
      </c>
      <c r="C123" s="24" t="s">
        <v>347</v>
      </c>
      <c r="E123" s="24"/>
      <c r="F123" s="24" t="s">
        <v>428</v>
      </c>
      <c r="G123" s="37" t="s">
        <v>729</v>
      </c>
      <c r="H123" s="24"/>
      <c r="I123" s="12" t="s">
        <v>728</v>
      </c>
      <c r="J123" s="24"/>
      <c r="K123" s="24"/>
      <c r="L123" s="12" t="s">
        <v>614</v>
      </c>
      <c r="M123" s="33" t="s">
        <v>862</v>
      </c>
    </row>
    <row r="124" spans="1:13" ht="15.75" x14ac:dyDescent="0.25">
      <c r="A124" s="17">
        <v>111</v>
      </c>
      <c r="B124" s="24" t="s">
        <v>196</v>
      </c>
      <c r="C124" s="24" t="s">
        <v>348</v>
      </c>
      <c r="E124" s="24"/>
      <c r="F124" s="24" t="s">
        <v>436</v>
      </c>
      <c r="H124" s="24"/>
      <c r="I124" s="12" t="s">
        <v>728</v>
      </c>
      <c r="J124" s="24"/>
      <c r="K124" s="24"/>
      <c r="L124" s="12" t="s">
        <v>615</v>
      </c>
      <c r="M124" s="33" t="s">
        <v>788</v>
      </c>
    </row>
    <row r="125" spans="1:13" ht="15.75" x14ac:dyDescent="0.25">
      <c r="A125" s="17">
        <v>112</v>
      </c>
      <c r="B125" s="24" t="s">
        <v>197</v>
      </c>
      <c r="C125" s="24" t="s">
        <v>349</v>
      </c>
      <c r="E125" s="24"/>
      <c r="F125" s="24" t="s">
        <v>39</v>
      </c>
      <c r="H125" s="24"/>
      <c r="I125" s="12" t="s">
        <v>728</v>
      </c>
      <c r="J125" s="24"/>
      <c r="K125" s="24"/>
      <c r="L125" s="12" t="s">
        <v>616</v>
      </c>
      <c r="M125" s="33" t="s">
        <v>789</v>
      </c>
    </row>
    <row r="126" spans="1:13" ht="15.75" x14ac:dyDescent="0.25">
      <c r="A126" s="17">
        <v>113</v>
      </c>
      <c r="B126" s="24" t="s">
        <v>198</v>
      </c>
      <c r="C126" s="24" t="s">
        <v>350</v>
      </c>
      <c r="E126" s="24"/>
      <c r="F126" s="24" t="s">
        <v>35</v>
      </c>
      <c r="H126" s="24"/>
      <c r="I126" s="12" t="s">
        <v>728</v>
      </c>
      <c r="J126" s="24"/>
      <c r="K126" s="24"/>
      <c r="L126" s="12" t="s">
        <v>617</v>
      </c>
      <c r="M126" s="33" t="s">
        <v>790</v>
      </c>
    </row>
    <row r="127" spans="1:13" ht="15.75" x14ac:dyDescent="0.25">
      <c r="A127" s="17">
        <v>114</v>
      </c>
      <c r="B127" s="24" t="s">
        <v>199</v>
      </c>
      <c r="C127" s="24" t="s">
        <v>351</v>
      </c>
      <c r="E127" s="24"/>
      <c r="F127" s="24" t="s">
        <v>425</v>
      </c>
      <c r="H127" s="24"/>
      <c r="I127" s="12" t="s">
        <v>728</v>
      </c>
      <c r="J127" s="24"/>
      <c r="K127" s="24"/>
      <c r="L127" s="12" t="s">
        <v>618</v>
      </c>
      <c r="M127" s="33" t="s">
        <v>791</v>
      </c>
    </row>
    <row r="128" spans="1:13" ht="15.75" x14ac:dyDescent="0.25">
      <c r="A128" s="17">
        <v>115</v>
      </c>
      <c r="B128" s="24" t="s">
        <v>200</v>
      </c>
      <c r="C128" s="24" t="s">
        <v>352</v>
      </c>
      <c r="E128" s="24"/>
      <c r="F128" s="24" t="s">
        <v>430</v>
      </c>
      <c r="H128" s="24"/>
      <c r="I128" s="12" t="s">
        <v>728</v>
      </c>
      <c r="J128" s="24"/>
      <c r="K128" s="24"/>
      <c r="L128" s="12" t="s">
        <v>619</v>
      </c>
      <c r="M128" s="33" t="s">
        <v>863</v>
      </c>
    </row>
    <row r="129" spans="1:13" ht="15.75" x14ac:dyDescent="0.25">
      <c r="A129" s="17">
        <v>116</v>
      </c>
      <c r="B129" s="24" t="s">
        <v>201</v>
      </c>
      <c r="C129" s="24" t="s">
        <v>353</v>
      </c>
      <c r="E129" s="24"/>
      <c r="F129" s="24" t="s">
        <v>16</v>
      </c>
      <c r="H129" s="24"/>
      <c r="I129" s="12" t="s">
        <v>728</v>
      </c>
      <c r="J129" s="24"/>
      <c r="K129" s="24"/>
      <c r="L129" s="12" t="s">
        <v>620</v>
      </c>
      <c r="M129" s="33" t="s">
        <v>864</v>
      </c>
    </row>
    <row r="130" spans="1:13" ht="15.75" x14ac:dyDescent="0.25">
      <c r="A130" s="17">
        <v>117</v>
      </c>
      <c r="B130" s="24" t="s">
        <v>202</v>
      </c>
      <c r="C130" s="24" t="s">
        <v>354</v>
      </c>
      <c r="E130" s="24"/>
      <c r="F130" s="24" t="s">
        <v>66</v>
      </c>
      <c r="H130" s="24"/>
      <c r="I130" s="12" t="s">
        <v>728</v>
      </c>
      <c r="J130" s="24"/>
      <c r="K130" s="24"/>
      <c r="L130" s="12" t="s">
        <v>621</v>
      </c>
      <c r="M130" s="33" t="s">
        <v>865</v>
      </c>
    </row>
    <row r="131" spans="1:13" ht="15.75" x14ac:dyDescent="0.25">
      <c r="A131" s="17">
        <v>118</v>
      </c>
      <c r="B131" s="24" t="s">
        <v>203</v>
      </c>
      <c r="C131" s="24" t="s">
        <v>355</v>
      </c>
      <c r="E131" s="24"/>
      <c r="F131" s="24" t="s">
        <v>65</v>
      </c>
      <c r="H131" s="24"/>
      <c r="I131" s="12" t="s">
        <v>728</v>
      </c>
      <c r="J131" s="24"/>
      <c r="K131" s="24"/>
      <c r="L131" s="12" t="s">
        <v>622</v>
      </c>
      <c r="M131" s="33" t="s">
        <v>866</v>
      </c>
    </row>
    <row r="132" spans="1:13" ht="25.5" x14ac:dyDescent="0.25">
      <c r="A132" s="17">
        <v>119</v>
      </c>
      <c r="B132" s="24" t="s">
        <v>204</v>
      </c>
      <c r="C132" s="24" t="s">
        <v>356</v>
      </c>
      <c r="E132" s="24"/>
      <c r="F132" s="24" t="s">
        <v>65</v>
      </c>
      <c r="H132" s="24"/>
      <c r="I132" s="12" t="s">
        <v>728</v>
      </c>
      <c r="J132" s="24" t="s">
        <v>442</v>
      </c>
      <c r="K132" s="25" t="s">
        <v>459</v>
      </c>
      <c r="L132" s="12" t="s">
        <v>623</v>
      </c>
      <c r="M132" s="33" t="s">
        <v>792</v>
      </c>
    </row>
    <row r="133" spans="1:13" ht="25.5" x14ac:dyDescent="0.25">
      <c r="A133" s="17">
        <v>120</v>
      </c>
      <c r="B133" s="24" t="s">
        <v>205</v>
      </c>
      <c r="C133" s="24" t="s">
        <v>357</v>
      </c>
      <c r="E133" s="24"/>
      <c r="F133" s="24" t="s">
        <v>65</v>
      </c>
      <c r="H133" s="24"/>
      <c r="I133" s="12" t="s">
        <v>728</v>
      </c>
      <c r="J133" s="24" t="s">
        <v>442</v>
      </c>
      <c r="K133" s="25" t="s">
        <v>459</v>
      </c>
      <c r="L133" s="12" t="s">
        <v>624</v>
      </c>
      <c r="M133" s="33" t="s">
        <v>867</v>
      </c>
    </row>
    <row r="134" spans="1:13" ht="15.75" x14ac:dyDescent="0.25">
      <c r="A134" s="17">
        <v>121</v>
      </c>
      <c r="B134" s="24" t="s">
        <v>206</v>
      </c>
      <c r="C134" s="24" t="s">
        <v>358</v>
      </c>
      <c r="E134" s="24"/>
      <c r="F134" s="24" t="s">
        <v>65</v>
      </c>
      <c r="H134" s="24"/>
      <c r="I134" s="12" t="s">
        <v>728</v>
      </c>
      <c r="J134" s="24"/>
      <c r="K134" s="24"/>
      <c r="L134" s="12" t="s">
        <v>625</v>
      </c>
      <c r="M134" s="33" t="s">
        <v>868</v>
      </c>
    </row>
    <row r="135" spans="1:13" ht="30" x14ac:dyDescent="0.25">
      <c r="A135" s="17">
        <v>122</v>
      </c>
      <c r="B135" s="24" t="s">
        <v>207</v>
      </c>
      <c r="C135" s="24" t="s">
        <v>359</v>
      </c>
      <c r="E135" s="24"/>
      <c r="F135" s="24" t="s">
        <v>430</v>
      </c>
      <c r="H135" s="24"/>
      <c r="I135" s="12" t="s">
        <v>728</v>
      </c>
      <c r="J135" s="24"/>
      <c r="K135" s="24"/>
      <c r="L135" s="12" t="s">
        <v>626</v>
      </c>
      <c r="M135" s="33" t="s">
        <v>871</v>
      </c>
    </row>
    <row r="136" spans="1:13" ht="30" x14ac:dyDescent="0.25">
      <c r="A136" s="17">
        <v>123</v>
      </c>
      <c r="B136" s="24" t="s">
        <v>208</v>
      </c>
      <c r="C136" s="24" t="s">
        <v>360</v>
      </c>
      <c r="E136" s="24"/>
      <c r="F136" s="24" t="s">
        <v>82</v>
      </c>
      <c r="H136" s="24"/>
      <c r="I136" s="12" t="s">
        <v>728</v>
      </c>
      <c r="J136" s="24"/>
      <c r="K136" s="24"/>
      <c r="L136" s="12" t="s">
        <v>627</v>
      </c>
      <c r="M136" s="33" t="s">
        <v>872</v>
      </c>
    </row>
    <row r="137" spans="1:13" ht="30" x14ac:dyDescent="0.25">
      <c r="A137" s="17">
        <v>124</v>
      </c>
      <c r="B137" s="24" t="s">
        <v>209</v>
      </c>
      <c r="C137" s="24" t="s">
        <v>361</v>
      </c>
      <c r="E137" s="24"/>
      <c r="F137" s="24" t="s">
        <v>82</v>
      </c>
      <c r="H137" s="24"/>
      <c r="I137" s="12" t="s">
        <v>728</v>
      </c>
      <c r="J137" s="24"/>
      <c r="K137" s="24"/>
      <c r="L137" s="12" t="s">
        <v>628</v>
      </c>
      <c r="M137" s="33" t="s">
        <v>873</v>
      </c>
    </row>
    <row r="138" spans="1:13" ht="25.5" x14ac:dyDescent="0.25">
      <c r="A138" s="17">
        <v>125</v>
      </c>
      <c r="B138" s="24" t="s">
        <v>210</v>
      </c>
      <c r="C138" s="24" t="s">
        <v>362</v>
      </c>
      <c r="E138" s="24"/>
      <c r="F138" s="24" t="s">
        <v>65</v>
      </c>
      <c r="H138" s="24"/>
      <c r="I138" s="12" t="s">
        <v>728</v>
      </c>
      <c r="J138" s="24" t="s">
        <v>442</v>
      </c>
      <c r="K138" s="25" t="s">
        <v>459</v>
      </c>
      <c r="L138" s="12" t="s">
        <v>629</v>
      </c>
      <c r="M138" s="33" t="s">
        <v>793</v>
      </c>
    </row>
    <row r="139" spans="1:13" ht="30" x14ac:dyDescent="0.25">
      <c r="A139" s="17">
        <v>126</v>
      </c>
      <c r="B139" s="24" t="s">
        <v>722</v>
      </c>
      <c r="C139" s="24" t="s">
        <v>363</v>
      </c>
      <c r="E139" s="24"/>
      <c r="F139" s="24" t="s">
        <v>65</v>
      </c>
      <c r="H139" s="24"/>
      <c r="I139" s="12" t="s">
        <v>728</v>
      </c>
      <c r="J139" s="24"/>
      <c r="K139" s="24"/>
      <c r="L139" s="12" t="s">
        <v>630</v>
      </c>
      <c r="M139" s="33" t="s">
        <v>902</v>
      </c>
    </row>
    <row r="140" spans="1:13" ht="15.75" x14ac:dyDescent="0.25">
      <c r="A140" s="17">
        <v>127</v>
      </c>
      <c r="B140" s="24" t="s">
        <v>81</v>
      </c>
      <c r="C140" s="24" t="s">
        <v>34</v>
      </c>
      <c r="E140" s="24"/>
      <c r="F140" s="24" t="s">
        <v>35</v>
      </c>
      <c r="H140" s="24"/>
      <c r="I140" s="12" t="s">
        <v>728</v>
      </c>
      <c r="J140" s="24"/>
      <c r="K140" s="24"/>
      <c r="L140" s="12" t="s">
        <v>631</v>
      </c>
      <c r="M140" s="33" t="s">
        <v>30</v>
      </c>
    </row>
    <row r="141" spans="1:13" ht="15.75" x14ac:dyDescent="0.25">
      <c r="A141" s="17">
        <v>128</v>
      </c>
      <c r="B141" s="24" t="s">
        <v>211</v>
      </c>
      <c r="C141" s="24" t="s">
        <v>364</v>
      </c>
      <c r="E141" s="24"/>
      <c r="F141" s="24" t="s">
        <v>436</v>
      </c>
      <c r="H141" s="24"/>
      <c r="I141" s="12" t="s">
        <v>728</v>
      </c>
      <c r="J141" s="24"/>
      <c r="K141" s="24"/>
      <c r="L141" s="35" t="s">
        <v>721</v>
      </c>
      <c r="M141" s="33" t="s">
        <v>720</v>
      </c>
    </row>
    <row r="142" spans="1:13" ht="242.25" x14ac:dyDescent="0.25">
      <c r="A142" s="17">
        <v>129</v>
      </c>
      <c r="B142" s="24" t="s">
        <v>212</v>
      </c>
      <c r="C142" s="24" t="s">
        <v>365</v>
      </c>
      <c r="E142" s="24"/>
      <c r="F142" s="24" t="s">
        <v>66</v>
      </c>
      <c r="H142" s="24"/>
      <c r="I142" s="12" t="s">
        <v>728</v>
      </c>
      <c r="J142" s="24" t="s">
        <v>473</v>
      </c>
      <c r="K142" s="25" t="s">
        <v>474</v>
      </c>
      <c r="L142" s="35" t="s">
        <v>650</v>
      </c>
      <c r="M142" s="33" t="s">
        <v>809</v>
      </c>
    </row>
    <row r="143" spans="1:13" ht="25.5" x14ac:dyDescent="0.25">
      <c r="A143" s="17">
        <v>130</v>
      </c>
      <c r="B143" s="24" t="s">
        <v>213</v>
      </c>
      <c r="C143" s="24" t="s">
        <v>366</v>
      </c>
      <c r="E143" s="24"/>
      <c r="F143" s="24" t="s">
        <v>430</v>
      </c>
      <c r="H143" s="24"/>
      <c r="I143" s="12" t="s">
        <v>728</v>
      </c>
      <c r="J143" s="24" t="s">
        <v>442</v>
      </c>
      <c r="K143" s="25" t="s">
        <v>475</v>
      </c>
      <c r="L143" s="35" t="s">
        <v>719</v>
      </c>
      <c r="M143" s="33" t="s">
        <v>718</v>
      </c>
    </row>
    <row r="144" spans="1:13" ht="15.75" x14ac:dyDescent="0.25">
      <c r="A144" s="17">
        <v>131</v>
      </c>
      <c r="B144" s="24" t="s">
        <v>214</v>
      </c>
      <c r="C144" s="24" t="s">
        <v>367</v>
      </c>
      <c r="E144" s="24"/>
      <c r="F144" s="24" t="s">
        <v>429</v>
      </c>
      <c r="H144" s="24"/>
      <c r="I144" s="12" t="s">
        <v>728</v>
      </c>
      <c r="J144" s="24"/>
      <c r="K144" s="24"/>
      <c r="L144" s="35" t="s">
        <v>717</v>
      </c>
      <c r="M144" s="33" t="s">
        <v>716</v>
      </c>
    </row>
    <row r="145" spans="1:13" x14ac:dyDescent="0.25">
      <c r="A145" s="17">
        <v>132</v>
      </c>
      <c r="B145" s="24" t="s">
        <v>714</v>
      </c>
      <c r="C145" s="24" t="s">
        <v>368</v>
      </c>
      <c r="E145" s="24"/>
      <c r="F145" s="24" t="s">
        <v>68</v>
      </c>
      <c r="H145" s="24"/>
      <c r="I145" s="12" t="s">
        <v>728</v>
      </c>
      <c r="J145" s="24"/>
      <c r="K145" s="24"/>
      <c r="L145" s="12"/>
      <c r="M145" s="33" t="s">
        <v>715</v>
      </c>
    </row>
    <row r="146" spans="1:13" ht="15.75" x14ac:dyDescent="0.25">
      <c r="A146" s="17">
        <v>133</v>
      </c>
      <c r="B146" s="24" t="s">
        <v>215</v>
      </c>
      <c r="C146" s="24" t="s">
        <v>369</v>
      </c>
      <c r="E146" s="24"/>
      <c r="F146" s="24" t="s">
        <v>68</v>
      </c>
      <c r="H146" s="24"/>
      <c r="I146" s="12" t="s">
        <v>728</v>
      </c>
      <c r="J146" s="24"/>
      <c r="K146" s="24"/>
      <c r="L146" s="35" t="s">
        <v>713</v>
      </c>
      <c r="M146" s="33" t="s">
        <v>712</v>
      </c>
    </row>
    <row r="147" spans="1:13" ht="39.75" x14ac:dyDescent="0.25">
      <c r="A147" s="17">
        <v>134</v>
      </c>
      <c r="B147" s="24" t="s">
        <v>710</v>
      </c>
      <c r="C147" s="24" t="s">
        <v>370</v>
      </c>
      <c r="E147" s="24"/>
      <c r="F147" s="24" t="s">
        <v>437</v>
      </c>
      <c r="H147" s="24"/>
      <c r="I147" s="12" t="s">
        <v>728</v>
      </c>
      <c r="J147" s="24" t="s">
        <v>446</v>
      </c>
      <c r="K147" s="25" t="s">
        <v>476</v>
      </c>
      <c r="L147" s="12"/>
      <c r="M147" s="33" t="s">
        <v>711</v>
      </c>
    </row>
    <row r="148" spans="1:13" ht="15.75" x14ac:dyDescent="0.25">
      <c r="A148" s="17">
        <v>135</v>
      </c>
      <c r="B148" s="24" t="s">
        <v>707</v>
      </c>
      <c r="C148" s="24" t="s">
        <v>371</v>
      </c>
      <c r="E148" s="24"/>
      <c r="F148" s="24" t="s">
        <v>36</v>
      </c>
      <c r="H148" s="24"/>
      <c r="I148" s="12" t="s">
        <v>728</v>
      </c>
      <c r="J148" s="24"/>
      <c r="K148" s="24"/>
      <c r="L148" s="35" t="s">
        <v>709</v>
      </c>
      <c r="M148" s="33" t="s">
        <v>708</v>
      </c>
    </row>
    <row r="149" spans="1:13" ht="15.75" x14ac:dyDescent="0.25">
      <c r="A149" s="17">
        <v>136</v>
      </c>
      <c r="B149" s="24" t="s">
        <v>704</v>
      </c>
      <c r="C149" s="24" t="s">
        <v>372</v>
      </c>
      <c r="E149" s="24"/>
      <c r="F149" s="24" t="s">
        <v>432</v>
      </c>
      <c r="H149" s="24"/>
      <c r="I149" s="12" t="s">
        <v>728</v>
      </c>
      <c r="J149" s="24"/>
      <c r="K149" s="24"/>
      <c r="L149" s="35" t="s">
        <v>706</v>
      </c>
      <c r="M149" s="33" t="s">
        <v>705</v>
      </c>
    </row>
    <row r="150" spans="1:13" ht="15.75" x14ac:dyDescent="0.25">
      <c r="A150" s="17">
        <v>137</v>
      </c>
      <c r="B150" s="24" t="s">
        <v>701</v>
      </c>
      <c r="C150" s="24" t="s">
        <v>373</v>
      </c>
      <c r="E150" s="24"/>
      <c r="F150" s="24" t="s">
        <v>432</v>
      </c>
      <c r="H150" s="24"/>
      <c r="I150" s="12" t="s">
        <v>728</v>
      </c>
      <c r="J150" s="24"/>
      <c r="K150" s="24"/>
      <c r="L150" s="35" t="s">
        <v>703</v>
      </c>
      <c r="M150" s="33" t="s">
        <v>702</v>
      </c>
    </row>
    <row r="151" spans="1:13" ht="15.75" x14ac:dyDescent="0.25">
      <c r="A151" s="17">
        <v>138</v>
      </c>
      <c r="B151" s="24" t="s">
        <v>216</v>
      </c>
      <c r="C151" s="24" t="s">
        <v>374</v>
      </c>
      <c r="D151" s="24" t="s">
        <v>500</v>
      </c>
      <c r="E151" s="24" t="s">
        <v>42</v>
      </c>
      <c r="F151" s="24" t="s">
        <v>66</v>
      </c>
      <c r="H151" s="24"/>
      <c r="I151" s="12" t="s">
        <v>728</v>
      </c>
      <c r="J151" s="24" t="s">
        <v>477</v>
      </c>
      <c r="K151" s="24"/>
      <c r="L151" s="35" t="s">
        <v>652</v>
      </c>
      <c r="M151" s="33" t="s">
        <v>651</v>
      </c>
    </row>
    <row r="152" spans="1:13" ht="15.75" x14ac:dyDescent="0.25">
      <c r="A152" s="17">
        <v>139</v>
      </c>
      <c r="B152" s="24" t="s">
        <v>700</v>
      </c>
      <c r="C152" s="24" t="s">
        <v>375</v>
      </c>
      <c r="E152" s="24"/>
      <c r="F152" s="24" t="s">
        <v>426</v>
      </c>
      <c r="H152" s="24"/>
      <c r="I152" s="12" t="s">
        <v>728</v>
      </c>
      <c r="J152" s="24"/>
      <c r="K152" s="24"/>
      <c r="L152" s="35" t="s">
        <v>874</v>
      </c>
      <c r="M152" s="33" t="s">
        <v>875</v>
      </c>
    </row>
    <row r="153" spans="1:13" ht="15.75" x14ac:dyDescent="0.25">
      <c r="A153" s="17">
        <v>140</v>
      </c>
      <c r="B153" s="24" t="s">
        <v>698</v>
      </c>
      <c r="C153" s="24" t="s">
        <v>376</v>
      </c>
      <c r="E153" s="24"/>
      <c r="F153" s="24" t="s">
        <v>65</v>
      </c>
      <c r="H153" s="24"/>
      <c r="I153" s="12" t="s">
        <v>728</v>
      </c>
      <c r="J153" s="24"/>
      <c r="K153" s="24"/>
      <c r="L153" s="35" t="s">
        <v>699</v>
      </c>
      <c r="M153" s="33" t="s">
        <v>876</v>
      </c>
    </row>
    <row r="154" spans="1:13" ht="15.75" x14ac:dyDescent="0.25">
      <c r="A154" s="17">
        <v>141</v>
      </c>
      <c r="B154" s="24" t="s">
        <v>696</v>
      </c>
      <c r="C154" s="24" t="s">
        <v>377</v>
      </c>
      <c r="E154" s="24"/>
      <c r="F154" s="24" t="s">
        <v>426</v>
      </c>
      <c r="H154" s="24"/>
      <c r="I154" s="12" t="s">
        <v>728</v>
      </c>
      <c r="J154" s="24"/>
      <c r="K154" s="24"/>
      <c r="L154" s="35" t="s">
        <v>697</v>
      </c>
      <c r="M154" s="33" t="s">
        <v>877</v>
      </c>
    </row>
    <row r="155" spans="1:13" ht="15.75" x14ac:dyDescent="0.25">
      <c r="A155" s="17">
        <v>142</v>
      </c>
      <c r="B155" s="24" t="s">
        <v>693</v>
      </c>
      <c r="C155" s="24" t="s">
        <v>378</v>
      </c>
      <c r="E155" s="24"/>
      <c r="F155" s="24" t="s">
        <v>40</v>
      </c>
      <c r="H155" s="24"/>
      <c r="I155" s="12" t="s">
        <v>728</v>
      </c>
      <c r="J155" s="24"/>
      <c r="K155" s="24"/>
      <c r="L155" s="35" t="s">
        <v>694</v>
      </c>
      <c r="M155" s="33" t="s">
        <v>695</v>
      </c>
    </row>
    <row r="156" spans="1:13" ht="15.75" x14ac:dyDescent="0.25">
      <c r="A156" s="17">
        <v>143</v>
      </c>
      <c r="B156" s="24" t="s">
        <v>217</v>
      </c>
      <c r="C156" s="24" t="s">
        <v>379</v>
      </c>
      <c r="E156" s="24"/>
      <c r="F156" s="24" t="s">
        <v>66</v>
      </c>
      <c r="H156" s="24"/>
      <c r="I156" s="12" t="s">
        <v>728</v>
      </c>
      <c r="J156" s="24" t="s">
        <v>478</v>
      </c>
      <c r="K156" s="24"/>
      <c r="L156" s="35" t="s">
        <v>691</v>
      </c>
      <c r="M156" s="33" t="s">
        <v>692</v>
      </c>
    </row>
    <row r="157" spans="1:13" ht="15.75" x14ac:dyDescent="0.25">
      <c r="A157" s="17">
        <v>144</v>
      </c>
      <c r="B157" s="24" t="s">
        <v>688</v>
      </c>
      <c r="C157" s="24" t="s">
        <v>380</v>
      </c>
      <c r="E157" s="24"/>
      <c r="F157" s="24" t="s">
        <v>66</v>
      </c>
      <c r="H157" s="24"/>
      <c r="I157" s="12" t="s">
        <v>728</v>
      </c>
      <c r="J157" s="24"/>
      <c r="K157" s="24"/>
      <c r="L157" s="35" t="s">
        <v>689</v>
      </c>
      <c r="M157" s="33" t="s">
        <v>690</v>
      </c>
    </row>
    <row r="158" spans="1:13" ht="15.75" x14ac:dyDescent="0.25">
      <c r="A158" s="17">
        <v>145</v>
      </c>
      <c r="B158" s="24" t="s">
        <v>218</v>
      </c>
      <c r="C158" s="24" t="s">
        <v>381</v>
      </c>
      <c r="E158" s="24"/>
      <c r="F158" s="24" t="s">
        <v>430</v>
      </c>
      <c r="H158" s="24"/>
      <c r="I158" s="12" t="s">
        <v>728</v>
      </c>
      <c r="J158" s="24"/>
      <c r="K158" s="24"/>
      <c r="L158" s="35" t="s">
        <v>686</v>
      </c>
      <c r="M158" s="33" t="s">
        <v>687</v>
      </c>
    </row>
    <row r="159" spans="1:13" ht="15.75" x14ac:dyDescent="0.25">
      <c r="A159" s="17">
        <v>146</v>
      </c>
      <c r="B159" s="24" t="s">
        <v>219</v>
      </c>
      <c r="C159" s="24" t="s">
        <v>382</v>
      </c>
      <c r="E159" s="24"/>
      <c r="F159" s="24" t="s">
        <v>438</v>
      </c>
      <c r="H159" s="24"/>
      <c r="I159" s="12" t="s">
        <v>728</v>
      </c>
      <c r="J159" s="24"/>
      <c r="K159" s="24"/>
      <c r="L159" s="35" t="s">
        <v>685</v>
      </c>
      <c r="M159" s="33" t="s">
        <v>878</v>
      </c>
    </row>
    <row r="160" spans="1:13" ht="15.75" x14ac:dyDescent="0.25">
      <c r="A160" s="17">
        <v>147</v>
      </c>
      <c r="B160" s="24" t="s">
        <v>220</v>
      </c>
      <c r="C160" s="24" t="s">
        <v>383</v>
      </c>
      <c r="E160" s="24"/>
      <c r="F160" s="24" t="s">
        <v>428</v>
      </c>
      <c r="H160" s="24"/>
      <c r="I160" s="12" t="s">
        <v>728</v>
      </c>
      <c r="J160" s="24"/>
      <c r="K160" s="24"/>
      <c r="L160" s="35" t="s">
        <v>683</v>
      </c>
      <c r="M160" s="33" t="s">
        <v>684</v>
      </c>
    </row>
    <row r="161" spans="1:13" ht="15.75" x14ac:dyDescent="0.25">
      <c r="A161" s="17">
        <v>148</v>
      </c>
      <c r="B161" s="24" t="s">
        <v>221</v>
      </c>
      <c r="C161" s="24" t="s">
        <v>384</v>
      </c>
      <c r="E161" s="24"/>
      <c r="F161" s="24" t="s">
        <v>16</v>
      </c>
      <c r="H161" s="24"/>
      <c r="I161" s="12" t="s">
        <v>728</v>
      </c>
      <c r="J161" s="24"/>
      <c r="K161" s="24"/>
      <c r="L161" s="12" t="s">
        <v>632</v>
      </c>
      <c r="M161" s="33" t="s">
        <v>879</v>
      </c>
    </row>
    <row r="162" spans="1:13" ht="15.75" x14ac:dyDescent="0.25">
      <c r="A162" s="17">
        <v>149</v>
      </c>
      <c r="B162" s="24" t="s">
        <v>222</v>
      </c>
      <c r="C162" s="24" t="s">
        <v>385</v>
      </c>
      <c r="E162" s="24"/>
      <c r="F162" s="24" t="s">
        <v>439</v>
      </c>
      <c r="H162" s="24"/>
      <c r="I162" s="12" t="s">
        <v>728</v>
      </c>
      <c r="J162" s="24"/>
      <c r="K162" s="24"/>
      <c r="L162" s="12" t="s">
        <v>633</v>
      </c>
      <c r="M162" s="33" t="s">
        <v>895</v>
      </c>
    </row>
    <row r="163" spans="1:13" ht="15.75" x14ac:dyDescent="0.25">
      <c r="A163" s="17">
        <v>150</v>
      </c>
      <c r="B163" s="24" t="s">
        <v>223</v>
      </c>
      <c r="C163" s="24" t="s">
        <v>386</v>
      </c>
      <c r="E163" s="24"/>
      <c r="F163" s="24" t="s">
        <v>439</v>
      </c>
      <c r="H163" s="24"/>
      <c r="I163" s="12" t="s">
        <v>728</v>
      </c>
      <c r="J163" s="24"/>
      <c r="K163" s="24"/>
      <c r="L163" s="12" t="s">
        <v>634</v>
      </c>
      <c r="M163" s="33" t="s">
        <v>894</v>
      </c>
    </row>
    <row r="164" spans="1:13" ht="15.75" x14ac:dyDescent="0.25">
      <c r="A164" s="17">
        <v>151</v>
      </c>
      <c r="B164" s="24" t="s">
        <v>224</v>
      </c>
      <c r="C164" s="24" t="s">
        <v>387</v>
      </c>
      <c r="E164" s="24"/>
      <c r="F164" s="24" t="s">
        <v>439</v>
      </c>
      <c r="H164" s="24"/>
      <c r="I164" s="12" t="s">
        <v>728</v>
      </c>
      <c r="J164" s="24"/>
      <c r="K164" s="24"/>
      <c r="L164" s="12" t="s">
        <v>635</v>
      </c>
      <c r="M164" s="33" t="s">
        <v>893</v>
      </c>
    </row>
    <row r="165" spans="1:13" ht="15.75" x14ac:dyDescent="0.25">
      <c r="A165" s="17">
        <v>152</v>
      </c>
      <c r="B165" s="24" t="s">
        <v>225</v>
      </c>
      <c r="C165" s="24" t="s">
        <v>388</v>
      </c>
      <c r="E165" s="24"/>
      <c r="F165" s="24" t="s">
        <v>432</v>
      </c>
      <c r="H165" s="24"/>
      <c r="I165" s="12" t="s">
        <v>728</v>
      </c>
      <c r="J165" s="24"/>
      <c r="K165" s="24"/>
      <c r="L165" s="12" t="s">
        <v>636</v>
      </c>
      <c r="M165" s="33" t="s">
        <v>892</v>
      </c>
    </row>
    <row r="166" spans="1:13" ht="51" x14ac:dyDescent="0.25">
      <c r="A166" s="17">
        <v>153</v>
      </c>
      <c r="B166" s="24" t="s">
        <v>226</v>
      </c>
      <c r="C166" s="24" t="s">
        <v>389</v>
      </c>
      <c r="E166" s="24"/>
      <c r="F166" s="24" t="s">
        <v>65</v>
      </c>
      <c r="H166" s="24"/>
      <c r="I166" s="12" t="s">
        <v>728</v>
      </c>
      <c r="J166" s="24" t="s">
        <v>467</v>
      </c>
      <c r="K166" s="25" t="s">
        <v>479</v>
      </c>
      <c r="L166" s="12" t="s">
        <v>637</v>
      </c>
      <c r="M166" s="33" t="s">
        <v>794</v>
      </c>
    </row>
    <row r="167" spans="1:13" ht="25.5" x14ac:dyDescent="0.25">
      <c r="A167" s="17">
        <v>154</v>
      </c>
      <c r="B167" s="24" t="s">
        <v>227</v>
      </c>
      <c r="C167" s="24" t="s">
        <v>390</v>
      </c>
      <c r="E167" s="24"/>
      <c r="F167" s="24" t="s">
        <v>65</v>
      </c>
      <c r="H167" s="24"/>
      <c r="I167" s="12" t="s">
        <v>728</v>
      </c>
      <c r="J167" s="24" t="s">
        <v>442</v>
      </c>
      <c r="K167" s="25" t="s">
        <v>443</v>
      </c>
      <c r="L167" s="12" t="s">
        <v>638</v>
      </c>
      <c r="M167" s="33" t="s">
        <v>795</v>
      </c>
    </row>
    <row r="168" spans="1:13" ht="239.25" customHeight="1" x14ac:dyDescent="0.25">
      <c r="A168" s="17">
        <v>155</v>
      </c>
      <c r="B168" s="24" t="s">
        <v>228</v>
      </c>
      <c r="C168" s="24" t="s">
        <v>391</v>
      </c>
      <c r="E168" s="24"/>
      <c r="F168" s="24" t="s">
        <v>430</v>
      </c>
      <c r="H168" s="24"/>
      <c r="I168" s="12" t="s">
        <v>728</v>
      </c>
      <c r="J168" s="24" t="s">
        <v>480</v>
      </c>
      <c r="K168" s="25" t="s">
        <v>481</v>
      </c>
      <c r="L168" s="12" t="s">
        <v>639</v>
      </c>
      <c r="M168" s="33" t="s">
        <v>796</v>
      </c>
    </row>
    <row r="169" spans="1:13" ht="15.75" x14ac:dyDescent="0.25">
      <c r="A169" s="17">
        <v>156</v>
      </c>
      <c r="B169" s="24" t="s">
        <v>229</v>
      </c>
      <c r="C169" s="24" t="s">
        <v>392</v>
      </c>
      <c r="E169" s="24"/>
      <c r="F169" s="24" t="s">
        <v>67</v>
      </c>
      <c r="H169" s="24"/>
      <c r="I169" s="12" t="s">
        <v>728</v>
      </c>
      <c r="J169" s="24"/>
      <c r="K169" s="24"/>
      <c r="L169" s="12" t="s">
        <v>640</v>
      </c>
      <c r="M169" s="33" t="s">
        <v>869</v>
      </c>
    </row>
    <row r="170" spans="1:13" ht="15.75" x14ac:dyDescent="0.25">
      <c r="A170" s="17">
        <v>157</v>
      </c>
      <c r="B170" s="24" t="s">
        <v>230</v>
      </c>
      <c r="C170" s="24" t="s">
        <v>393</v>
      </c>
      <c r="E170" s="24"/>
      <c r="F170" s="24" t="s">
        <v>428</v>
      </c>
      <c r="H170" s="24"/>
      <c r="I170" s="12" t="s">
        <v>728</v>
      </c>
      <c r="J170" s="24"/>
      <c r="K170" s="24"/>
      <c r="L170" s="12" t="s">
        <v>614</v>
      </c>
      <c r="M170" s="33" t="s">
        <v>870</v>
      </c>
    </row>
    <row r="171" spans="1:13" ht="15.75" x14ac:dyDescent="0.25">
      <c r="A171" s="17">
        <v>158</v>
      </c>
      <c r="B171" s="24" t="s">
        <v>681</v>
      </c>
      <c r="C171" s="24" t="s">
        <v>394</v>
      </c>
      <c r="E171" s="24"/>
      <c r="F171" s="24" t="s">
        <v>35</v>
      </c>
      <c r="H171" s="24"/>
      <c r="I171" s="12" t="s">
        <v>728</v>
      </c>
      <c r="J171" s="24"/>
      <c r="K171" s="24"/>
      <c r="L171" s="36" t="s">
        <v>682</v>
      </c>
      <c r="M171" s="33" t="s">
        <v>897</v>
      </c>
    </row>
    <row r="172" spans="1:13" ht="25.5" x14ac:dyDescent="0.25">
      <c r="A172" s="17">
        <v>159</v>
      </c>
      <c r="B172" s="24" t="s">
        <v>679</v>
      </c>
      <c r="C172" s="24" t="s">
        <v>395</v>
      </c>
      <c r="E172" s="24"/>
      <c r="F172" s="24" t="s">
        <v>65</v>
      </c>
      <c r="H172" s="24"/>
      <c r="I172" s="12" t="s">
        <v>728</v>
      </c>
      <c r="J172" s="24"/>
      <c r="K172" s="25" t="s">
        <v>451</v>
      </c>
      <c r="L172" s="35" t="s">
        <v>680</v>
      </c>
      <c r="M172" s="33" t="s">
        <v>896</v>
      </c>
    </row>
    <row r="173" spans="1:13" ht="30" x14ac:dyDescent="0.25">
      <c r="A173" s="17">
        <v>160</v>
      </c>
      <c r="B173" s="24" t="s">
        <v>677</v>
      </c>
      <c r="C173" s="24" t="s">
        <v>396</v>
      </c>
      <c r="E173" s="24"/>
      <c r="F173" s="24" t="s">
        <v>35</v>
      </c>
      <c r="H173" s="24"/>
      <c r="I173" s="12" t="s">
        <v>728</v>
      </c>
      <c r="J173" s="24"/>
      <c r="K173" s="24"/>
      <c r="L173" s="36" t="s">
        <v>678</v>
      </c>
      <c r="M173" s="33" t="s">
        <v>898</v>
      </c>
    </row>
    <row r="174" spans="1:13" ht="38.25" x14ac:dyDescent="0.25">
      <c r="A174" s="17">
        <v>161</v>
      </c>
      <c r="B174" s="24" t="s">
        <v>675</v>
      </c>
      <c r="C174" s="24" t="s">
        <v>397</v>
      </c>
      <c r="E174" s="24"/>
      <c r="F174" s="24" t="s">
        <v>65</v>
      </c>
      <c r="H174" s="24"/>
      <c r="I174" s="12" t="s">
        <v>728</v>
      </c>
      <c r="J174" s="24"/>
      <c r="K174" s="25" t="s">
        <v>447</v>
      </c>
      <c r="L174" s="35" t="s">
        <v>676</v>
      </c>
      <c r="M174" s="33" t="s">
        <v>899</v>
      </c>
    </row>
    <row r="175" spans="1:13" ht="15.75" x14ac:dyDescent="0.25">
      <c r="A175" s="17">
        <v>162</v>
      </c>
      <c r="B175" s="24" t="s">
        <v>673</v>
      </c>
      <c r="C175" s="24" t="s">
        <v>398</v>
      </c>
      <c r="E175" s="24"/>
      <c r="F175" s="24" t="s">
        <v>432</v>
      </c>
      <c r="H175" s="24"/>
      <c r="I175" s="12" t="s">
        <v>728</v>
      </c>
      <c r="J175" s="24"/>
      <c r="K175" s="24"/>
      <c r="L175" s="35" t="s">
        <v>674</v>
      </c>
      <c r="M175" s="33" t="s">
        <v>900</v>
      </c>
    </row>
    <row r="176" spans="1:13" ht="15.75" x14ac:dyDescent="0.25">
      <c r="A176" s="17">
        <v>163</v>
      </c>
      <c r="B176" s="24" t="s">
        <v>672</v>
      </c>
      <c r="C176" s="24" t="s">
        <v>399</v>
      </c>
      <c r="E176" s="24"/>
      <c r="F176" s="24" t="s">
        <v>432</v>
      </c>
      <c r="H176" s="24"/>
      <c r="I176" s="12" t="s">
        <v>728</v>
      </c>
      <c r="J176" s="24"/>
      <c r="K176" s="24"/>
      <c r="L176" s="35" t="s">
        <v>891</v>
      </c>
      <c r="M176" s="33" t="s">
        <v>901</v>
      </c>
    </row>
    <row r="177" spans="1:13" ht="15.75" x14ac:dyDescent="0.25">
      <c r="A177" s="17">
        <v>164</v>
      </c>
      <c r="B177" s="24" t="s">
        <v>670</v>
      </c>
      <c r="C177" s="24" t="s">
        <v>400</v>
      </c>
      <c r="E177" s="24"/>
      <c r="F177" s="24" t="s">
        <v>439</v>
      </c>
      <c r="H177" s="24"/>
      <c r="I177" s="12" t="s">
        <v>728</v>
      </c>
      <c r="J177" s="24"/>
      <c r="K177" s="24"/>
      <c r="L177" s="35" t="s">
        <v>671</v>
      </c>
      <c r="M177" s="33" t="s">
        <v>890</v>
      </c>
    </row>
    <row r="178" spans="1:13" ht="51" x14ac:dyDescent="0.25">
      <c r="A178" s="17">
        <v>165</v>
      </c>
      <c r="B178" s="24" t="s">
        <v>668</v>
      </c>
      <c r="C178" s="24" t="s">
        <v>401</v>
      </c>
      <c r="E178" s="24"/>
      <c r="F178" s="24" t="s">
        <v>65</v>
      </c>
      <c r="H178" s="24"/>
      <c r="I178" s="12" t="s">
        <v>728</v>
      </c>
      <c r="J178" s="24"/>
      <c r="K178" s="25" t="s">
        <v>482</v>
      </c>
      <c r="L178" s="35" t="s">
        <v>669</v>
      </c>
      <c r="M178" s="33" t="s">
        <v>889</v>
      </c>
    </row>
    <row r="179" spans="1:13" ht="15.75" x14ac:dyDescent="0.25">
      <c r="A179" s="17">
        <v>166</v>
      </c>
      <c r="B179" s="24" t="s">
        <v>231</v>
      </c>
      <c r="C179" s="24" t="s">
        <v>402</v>
      </c>
      <c r="E179" s="24"/>
      <c r="F179" s="24" t="s">
        <v>425</v>
      </c>
      <c r="H179" s="24"/>
      <c r="I179" s="12" t="s">
        <v>728</v>
      </c>
      <c r="J179" s="24"/>
      <c r="K179" s="24"/>
      <c r="L179" s="35" t="s">
        <v>653</v>
      </c>
      <c r="M179" s="33" t="s">
        <v>888</v>
      </c>
    </row>
    <row r="180" spans="1:13" ht="15.75" x14ac:dyDescent="0.25">
      <c r="A180" s="17">
        <v>167</v>
      </c>
      <c r="B180" s="24" t="s">
        <v>666</v>
      </c>
      <c r="C180" s="24" t="s">
        <v>403</v>
      </c>
      <c r="E180" s="24"/>
      <c r="F180" s="24" t="s">
        <v>65</v>
      </c>
      <c r="H180" s="24"/>
      <c r="I180" s="12" t="s">
        <v>728</v>
      </c>
      <c r="J180" s="24"/>
      <c r="K180" s="24"/>
      <c r="L180" s="35" t="s">
        <v>667</v>
      </c>
      <c r="M180" s="33" t="s">
        <v>797</v>
      </c>
    </row>
    <row r="181" spans="1:13" ht="15.75" x14ac:dyDescent="0.25">
      <c r="A181" s="17">
        <v>168</v>
      </c>
      <c r="B181" s="24" t="s">
        <v>232</v>
      </c>
      <c r="C181" s="24" t="s">
        <v>404</v>
      </c>
      <c r="E181" s="24"/>
      <c r="F181" s="24" t="s">
        <v>65</v>
      </c>
      <c r="H181" s="24"/>
      <c r="I181" s="12" t="s">
        <v>728</v>
      </c>
      <c r="J181" s="24"/>
      <c r="K181" s="24"/>
      <c r="L181" s="12" t="s">
        <v>641</v>
      </c>
      <c r="M181" s="33" t="s">
        <v>887</v>
      </c>
    </row>
    <row r="182" spans="1:13" ht="15.75" x14ac:dyDescent="0.25">
      <c r="A182" s="17">
        <v>169</v>
      </c>
      <c r="B182" s="24" t="s">
        <v>233</v>
      </c>
      <c r="C182" s="24" t="s">
        <v>405</v>
      </c>
      <c r="E182" s="24"/>
      <c r="F182" s="24" t="s">
        <v>440</v>
      </c>
      <c r="H182" s="24"/>
      <c r="I182" s="12" t="s">
        <v>728</v>
      </c>
      <c r="J182" s="24"/>
      <c r="K182" s="24"/>
      <c r="L182" s="12" t="s">
        <v>642</v>
      </c>
      <c r="M182" s="33" t="s">
        <v>886</v>
      </c>
    </row>
    <row r="183" spans="1:13" ht="30" x14ac:dyDescent="0.25">
      <c r="A183" s="17">
        <v>170</v>
      </c>
      <c r="B183" s="24" t="s">
        <v>234</v>
      </c>
      <c r="C183" s="24" t="s">
        <v>406</v>
      </c>
      <c r="E183" s="24"/>
      <c r="F183" s="24" t="s">
        <v>441</v>
      </c>
      <c r="H183" s="24"/>
      <c r="I183" s="12" t="s">
        <v>728</v>
      </c>
      <c r="J183" s="24" t="s">
        <v>78</v>
      </c>
      <c r="K183" s="24"/>
      <c r="L183" s="12" t="s">
        <v>884</v>
      </c>
      <c r="M183" s="33" t="s">
        <v>885</v>
      </c>
    </row>
    <row r="184" spans="1:13" ht="15.75" x14ac:dyDescent="0.25">
      <c r="A184" s="17">
        <v>171</v>
      </c>
      <c r="B184" s="24" t="s">
        <v>235</v>
      </c>
      <c r="C184" s="24" t="s">
        <v>407</v>
      </c>
      <c r="E184" s="24"/>
      <c r="F184" s="24" t="s">
        <v>432</v>
      </c>
      <c r="H184" s="24"/>
      <c r="I184" s="12" t="s">
        <v>728</v>
      </c>
      <c r="J184" s="24"/>
      <c r="K184" s="24"/>
      <c r="L184" s="31" t="s">
        <v>665</v>
      </c>
      <c r="M184" s="33" t="s">
        <v>883</v>
      </c>
    </row>
    <row r="185" spans="1:13" ht="15.75" x14ac:dyDescent="0.25">
      <c r="A185" s="17">
        <v>172</v>
      </c>
      <c r="B185" s="24" t="s">
        <v>236</v>
      </c>
      <c r="C185" s="24" t="s">
        <v>408</v>
      </c>
      <c r="E185" s="24"/>
      <c r="F185" s="24" t="s">
        <v>65</v>
      </c>
      <c r="H185" s="24"/>
      <c r="I185" s="12" t="s">
        <v>728</v>
      </c>
      <c r="J185" s="24"/>
      <c r="K185" s="24"/>
      <c r="L185" s="35" t="s">
        <v>664</v>
      </c>
      <c r="M185" s="33" t="s">
        <v>882</v>
      </c>
    </row>
    <row r="186" spans="1:13" ht="15.75" x14ac:dyDescent="0.25">
      <c r="A186" s="17">
        <v>173</v>
      </c>
      <c r="B186" s="24" t="s">
        <v>237</v>
      </c>
      <c r="C186" s="24" t="s">
        <v>409</v>
      </c>
      <c r="E186" s="24"/>
      <c r="F186" s="24" t="s">
        <v>439</v>
      </c>
      <c r="H186" s="24"/>
      <c r="I186" s="12" t="s">
        <v>728</v>
      </c>
      <c r="J186" s="24"/>
      <c r="K186" s="24"/>
      <c r="L186" s="12" t="s">
        <v>643</v>
      </c>
      <c r="M186" s="33" t="s">
        <v>880</v>
      </c>
    </row>
    <row r="187" spans="1:13" ht="45" x14ac:dyDescent="0.25">
      <c r="A187" s="17">
        <v>174</v>
      </c>
      <c r="B187" s="24" t="s">
        <v>238</v>
      </c>
      <c r="C187" s="24" t="s">
        <v>410</v>
      </c>
      <c r="E187" s="24"/>
      <c r="F187" s="24" t="s">
        <v>67</v>
      </c>
      <c r="H187" s="24"/>
      <c r="I187" s="12" t="s">
        <v>728</v>
      </c>
      <c r="J187" s="24"/>
      <c r="K187" s="24"/>
      <c r="L187" s="12" t="s">
        <v>644</v>
      </c>
      <c r="M187" s="33" t="s">
        <v>881</v>
      </c>
    </row>
    <row r="188" spans="1:13" ht="15.75" x14ac:dyDescent="0.25">
      <c r="A188" s="17">
        <v>175</v>
      </c>
      <c r="B188" s="24" t="s">
        <v>239</v>
      </c>
      <c r="C188" s="24" t="s">
        <v>411</v>
      </c>
      <c r="E188" s="24"/>
      <c r="F188" s="24" t="s">
        <v>430</v>
      </c>
      <c r="H188" s="24"/>
      <c r="I188" s="12" t="s">
        <v>728</v>
      </c>
      <c r="J188" s="24"/>
      <c r="K188" s="24"/>
      <c r="L188" s="35" t="s">
        <v>654</v>
      </c>
      <c r="M188" s="33" t="s">
        <v>798</v>
      </c>
    </row>
    <row r="189" spans="1:13" ht="15.75" x14ac:dyDescent="0.25">
      <c r="A189" s="17">
        <v>176</v>
      </c>
      <c r="B189" s="24" t="s">
        <v>655</v>
      </c>
      <c r="C189" s="24" t="s">
        <v>412</v>
      </c>
      <c r="E189" s="24"/>
      <c r="F189" s="24" t="s">
        <v>430</v>
      </c>
      <c r="H189" s="24"/>
      <c r="I189" s="12" t="s">
        <v>728</v>
      </c>
      <c r="J189" s="24"/>
      <c r="K189" s="24"/>
      <c r="L189" s="35" t="s">
        <v>656</v>
      </c>
      <c r="M189" s="33" t="s">
        <v>663</v>
      </c>
    </row>
    <row r="190" spans="1:13" ht="15.75" x14ac:dyDescent="0.25">
      <c r="A190" s="17">
        <v>177</v>
      </c>
      <c r="B190" s="24" t="s">
        <v>240</v>
      </c>
      <c r="C190" s="24" t="s">
        <v>413</v>
      </c>
      <c r="E190" s="24"/>
      <c r="F190" s="24" t="s">
        <v>430</v>
      </c>
      <c r="H190" s="24"/>
      <c r="I190" s="12" t="s">
        <v>728</v>
      </c>
      <c r="J190" s="24"/>
      <c r="K190" s="24"/>
      <c r="L190" s="35" t="s">
        <v>661</v>
      </c>
      <c r="M190" s="33" t="s">
        <v>662</v>
      </c>
    </row>
    <row r="191" spans="1:13" ht="76.5" x14ac:dyDescent="0.25">
      <c r="A191" s="17">
        <v>178</v>
      </c>
      <c r="B191" s="24" t="s">
        <v>241</v>
      </c>
      <c r="C191" s="24" t="s">
        <v>414</v>
      </c>
      <c r="E191" s="24"/>
      <c r="F191" s="24" t="s">
        <v>65</v>
      </c>
      <c r="H191" s="24"/>
      <c r="I191" s="12" t="s">
        <v>728</v>
      </c>
      <c r="J191" s="24"/>
      <c r="K191" s="25" t="s">
        <v>483</v>
      </c>
      <c r="L191" s="35" t="s">
        <v>660</v>
      </c>
      <c r="M191" s="33" t="s">
        <v>804</v>
      </c>
    </row>
    <row r="192" spans="1:13" ht="15.75" x14ac:dyDescent="0.25">
      <c r="A192" s="17">
        <v>179</v>
      </c>
      <c r="B192" s="24" t="s">
        <v>242</v>
      </c>
      <c r="C192" s="24" t="s">
        <v>801</v>
      </c>
      <c r="E192" s="24"/>
      <c r="F192" s="24" t="s">
        <v>425</v>
      </c>
      <c r="H192" s="24"/>
      <c r="I192" s="12" t="s">
        <v>728</v>
      </c>
      <c r="J192" s="24"/>
      <c r="K192" s="24"/>
      <c r="L192" s="35" t="s">
        <v>659</v>
      </c>
      <c r="M192" s="33" t="s">
        <v>803</v>
      </c>
    </row>
    <row r="193" spans="1:13" ht="15.75" x14ac:dyDescent="0.25">
      <c r="A193" s="17">
        <v>180</v>
      </c>
      <c r="B193" s="24" t="s">
        <v>657</v>
      </c>
      <c r="C193" s="24" t="s">
        <v>415</v>
      </c>
      <c r="E193" s="24"/>
      <c r="F193" s="24" t="s">
        <v>425</v>
      </c>
      <c r="H193" s="24"/>
      <c r="I193" s="12" t="s">
        <v>728</v>
      </c>
      <c r="J193" s="24"/>
      <c r="K193" s="24"/>
      <c r="L193" s="35" t="s">
        <v>658</v>
      </c>
      <c r="M193" s="33" t="s">
        <v>802</v>
      </c>
    </row>
    <row r="194" spans="1:13" ht="15.75" x14ac:dyDescent="0.25">
      <c r="A194" s="17">
        <v>181</v>
      </c>
      <c r="B194" s="24" t="s">
        <v>907</v>
      </c>
      <c r="C194" s="24" t="s">
        <v>931</v>
      </c>
      <c r="E194" s="24"/>
      <c r="F194" s="24" t="s">
        <v>913</v>
      </c>
      <c r="H194" s="24"/>
      <c r="I194" s="12" t="s">
        <v>84</v>
      </c>
      <c r="J194" s="24"/>
      <c r="K194" s="24"/>
      <c r="L194" s="35" t="s">
        <v>917</v>
      </c>
      <c r="M194" s="33" t="s">
        <v>916</v>
      </c>
    </row>
    <row r="195" spans="1:13" ht="114" x14ac:dyDescent="0.25">
      <c r="A195" s="17">
        <v>182</v>
      </c>
      <c r="B195" s="24" t="s">
        <v>908</v>
      </c>
      <c r="C195" s="24" t="s">
        <v>932</v>
      </c>
      <c r="E195" s="24"/>
      <c r="F195" s="24" t="s">
        <v>914</v>
      </c>
      <c r="H195" s="24"/>
      <c r="I195" s="12" t="s">
        <v>84</v>
      </c>
      <c r="J195" s="24"/>
      <c r="K195" s="25" t="s">
        <v>927</v>
      </c>
      <c r="L195" s="35" t="s">
        <v>918</v>
      </c>
      <c r="M195" s="33" t="s">
        <v>919</v>
      </c>
    </row>
    <row r="196" spans="1:13" ht="28.5" x14ac:dyDescent="0.25">
      <c r="A196" s="17">
        <v>183</v>
      </c>
      <c r="B196" s="24" t="s">
        <v>909</v>
      </c>
      <c r="C196" s="24" t="s">
        <v>933</v>
      </c>
      <c r="E196" s="24"/>
      <c r="F196" s="24" t="s">
        <v>914</v>
      </c>
      <c r="H196" s="24"/>
      <c r="I196" s="12" t="s">
        <v>84</v>
      </c>
      <c r="J196" s="24"/>
      <c r="K196" s="25" t="s">
        <v>928</v>
      </c>
      <c r="L196" s="35" t="s">
        <v>920</v>
      </c>
      <c r="M196" s="33" t="s">
        <v>938</v>
      </c>
    </row>
    <row r="197" spans="1:13" ht="82.5" x14ac:dyDescent="0.25">
      <c r="A197" s="17">
        <v>184</v>
      </c>
      <c r="B197" s="24" t="s">
        <v>910</v>
      </c>
      <c r="C197" s="24" t="s">
        <v>934</v>
      </c>
      <c r="E197" s="24"/>
      <c r="F197" s="24" t="s">
        <v>914</v>
      </c>
      <c r="H197" s="24"/>
      <c r="I197" s="12" t="s">
        <v>84</v>
      </c>
      <c r="J197" s="24"/>
      <c r="K197" s="25" t="s">
        <v>929</v>
      </c>
      <c r="L197" s="35" t="s">
        <v>923</v>
      </c>
      <c r="M197" s="33" t="s">
        <v>924</v>
      </c>
    </row>
    <row r="198" spans="1:13" ht="15.75" x14ac:dyDescent="0.25">
      <c r="A198" s="17">
        <v>185</v>
      </c>
      <c r="B198" s="24" t="s">
        <v>911</v>
      </c>
      <c r="C198" s="24" t="s">
        <v>935</v>
      </c>
      <c r="E198" s="24"/>
      <c r="F198" s="24" t="s">
        <v>915</v>
      </c>
      <c r="H198" s="24"/>
      <c r="I198" s="12" t="s">
        <v>84</v>
      </c>
      <c r="J198" s="24"/>
      <c r="K198" s="24"/>
      <c r="L198" s="35" t="s">
        <v>921</v>
      </c>
      <c r="M198" s="33" t="s">
        <v>925</v>
      </c>
    </row>
    <row r="199" spans="1:13" ht="15.75" x14ac:dyDescent="0.25">
      <c r="A199" s="17">
        <v>186</v>
      </c>
      <c r="B199" s="24" t="s">
        <v>912</v>
      </c>
      <c r="C199" s="24" t="s">
        <v>936</v>
      </c>
      <c r="E199" s="24"/>
      <c r="F199" s="24" t="s">
        <v>915</v>
      </c>
      <c r="H199" s="24"/>
      <c r="I199" s="12" t="s">
        <v>84</v>
      </c>
      <c r="J199" s="24"/>
      <c r="K199" s="24"/>
      <c r="L199" s="35" t="s">
        <v>922</v>
      </c>
      <c r="M199" s="33" t="s">
        <v>926</v>
      </c>
    </row>
    <row r="200" spans="1:13" s="45" customFormat="1" ht="15.75" x14ac:dyDescent="0.25">
      <c r="A200" s="17">
        <v>187</v>
      </c>
      <c r="B200" s="44" t="s">
        <v>960</v>
      </c>
      <c r="C200" s="44" t="s">
        <v>951</v>
      </c>
      <c r="E200" s="44"/>
      <c r="F200" s="44"/>
      <c r="G200" s="43"/>
      <c r="H200" s="44"/>
      <c r="I200" s="42" t="s">
        <v>84</v>
      </c>
      <c r="J200" s="44"/>
      <c r="K200" s="44"/>
      <c r="L200" s="46" t="s">
        <v>944</v>
      </c>
      <c r="M200" s="47" t="s">
        <v>959</v>
      </c>
    </row>
    <row r="201" spans="1:13" s="45" customFormat="1" ht="15.75" x14ac:dyDescent="0.25">
      <c r="A201" s="17">
        <v>188</v>
      </c>
      <c r="B201" s="44" t="s">
        <v>961</v>
      </c>
      <c r="C201" s="44" t="s">
        <v>972</v>
      </c>
      <c r="E201" s="44"/>
      <c r="F201" s="44" t="s">
        <v>65</v>
      </c>
      <c r="G201" s="43"/>
      <c r="H201" s="44"/>
      <c r="I201" s="42" t="s">
        <v>84</v>
      </c>
      <c r="J201" s="44"/>
      <c r="K201" s="44"/>
      <c r="L201" s="46" t="s">
        <v>945</v>
      </c>
      <c r="M201" s="47" t="s">
        <v>953</v>
      </c>
    </row>
    <row r="202" spans="1:13" s="45" customFormat="1" ht="30" x14ac:dyDescent="0.25">
      <c r="A202" s="17">
        <v>189</v>
      </c>
      <c r="B202" s="44" t="s">
        <v>962</v>
      </c>
      <c r="C202" s="44" t="s">
        <v>971</v>
      </c>
      <c r="E202" s="44"/>
      <c r="F202" s="44" t="s">
        <v>66</v>
      </c>
      <c r="G202" s="43"/>
      <c r="H202" s="44"/>
      <c r="I202" s="42" t="s">
        <v>84</v>
      </c>
      <c r="J202" s="44"/>
      <c r="K202" s="44"/>
      <c r="L202" s="46" t="s">
        <v>946</v>
      </c>
      <c r="M202" s="47" t="s">
        <v>954</v>
      </c>
    </row>
    <row r="203" spans="1:13" s="45" customFormat="1" ht="15.75" x14ac:dyDescent="0.25">
      <c r="A203" s="17">
        <v>190</v>
      </c>
      <c r="B203" s="44" t="s">
        <v>963</v>
      </c>
      <c r="C203" s="44" t="s">
        <v>970</v>
      </c>
      <c r="E203" s="44"/>
      <c r="F203" s="44" t="s">
        <v>430</v>
      </c>
      <c r="G203" s="43"/>
      <c r="H203" s="44"/>
      <c r="I203" s="42" t="s">
        <v>84</v>
      </c>
      <c r="J203" s="44"/>
      <c r="K203" s="44"/>
      <c r="L203" s="46" t="s">
        <v>947</v>
      </c>
      <c r="M203" s="47" t="s">
        <v>955</v>
      </c>
    </row>
    <row r="204" spans="1:13" s="45" customFormat="1" ht="15.75" x14ac:dyDescent="0.25">
      <c r="A204" s="17">
        <v>191</v>
      </c>
      <c r="B204" s="44" t="s">
        <v>964</v>
      </c>
      <c r="C204" s="44" t="s">
        <v>969</v>
      </c>
      <c r="E204" s="44"/>
      <c r="F204" s="44" t="s">
        <v>430</v>
      </c>
      <c r="G204" s="43"/>
      <c r="H204" s="44"/>
      <c r="I204" s="42" t="s">
        <v>84</v>
      </c>
      <c r="J204" s="44"/>
      <c r="K204" s="44"/>
      <c r="L204" s="46" t="s">
        <v>948</v>
      </c>
      <c r="M204" s="47" t="s">
        <v>956</v>
      </c>
    </row>
    <row r="205" spans="1:13" s="45" customFormat="1" ht="15.75" x14ac:dyDescent="0.25">
      <c r="A205" s="17">
        <v>192</v>
      </c>
      <c r="B205" s="44" t="s">
        <v>965</v>
      </c>
      <c r="C205" s="44" t="s">
        <v>968</v>
      </c>
      <c r="E205" s="44"/>
      <c r="F205" s="44" t="s">
        <v>430</v>
      </c>
      <c r="G205" s="43"/>
      <c r="H205" s="44"/>
      <c r="I205" s="42" t="s">
        <v>84</v>
      </c>
      <c r="J205" s="44"/>
      <c r="K205" s="44"/>
      <c r="L205" s="46" t="s">
        <v>949</v>
      </c>
      <c r="M205" s="47" t="s">
        <v>957</v>
      </c>
    </row>
    <row r="206" spans="1:13" s="45" customFormat="1" ht="42.75" x14ac:dyDescent="0.25">
      <c r="A206" s="17">
        <v>193</v>
      </c>
      <c r="B206" s="44" t="s">
        <v>966</v>
      </c>
      <c r="C206" s="44" t="s">
        <v>967</v>
      </c>
      <c r="E206" s="44"/>
      <c r="F206" s="44" t="s">
        <v>65</v>
      </c>
      <c r="G206" s="43"/>
      <c r="H206" s="44"/>
      <c r="I206" s="42" t="s">
        <v>84</v>
      </c>
      <c r="J206" s="44"/>
      <c r="K206" s="48" t="s">
        <v>952</v>
      </c>
      <c r="L206" s="46" t="s">
        <v>950</v>
      </c>
      <c r="M206" s="47" t="s">
        <v>958</v>
      </c>
    </row>
    <row r="207" spans="1:13" ht="15.75" x14ac:dyDescent="0.25">
      <c r="A207" s="17">
        <v>194</v>
      </c>
      <c r="B207" s="24" t="s">
        <v>730</v>
      </c>
      <c r="C207" s="24" t="s">
        <v>735</v>
      </c>
      <c r="E207" s="24"/>
      <c r="F207" s="24" t="s">
        <v>733</v>
      </c>
      <c r="H207" s="24"/>
      <c r="I207" s="12" t="s">
        <v>84</v>
      </c>
      <c r="J207" s="24"/>
      <c r="K207" s="24"/>
      <c r="L207" s="35" t="s">
        <v>738</v>
      </c>
      <c r="M207" s="33" t="s">
        <v>800</v>
      </c>
    </row>
    <row r="208" spans="1:13" ht="15.75" x14ac:dyDescent="0.25">
      <c r="A208" s="17">
        <v>195</v>
      </c>
      <c r="B208" s="24" t="s">
        <v>731</v>
      </c>
      <c r="C208" s="24" t="s">
        <v>736</v>
      </c>
      <c r="E208" s="24"/>
      <c r="F208" s="24" t="s">
        <v>734</v>
      </c>
      <c r="H208" s="24"/>
      <c r="I208" s="12" t="s">
        <v>84</v>
      </c>
      <c r="J208" s="24"/>
      <c r="K208" s="24"/>
      <c r="L208" s="35" t="s">
        <v>740</v>
      </c>
      <c r="M208" s="33" t="s">
        <v>799</v>
      </c>
    </row>
    <row r="209" spans="1:13" ht="15.75" x14ac:dyDescent="0.25">
      <c r="A209" s="17">
        <v>196</v>
      </c>
      <c r="B209" s="24" t="s">
        <v>732</v>
      </c>
      <c r="C209" s="24" t="s">
        <v>737</v>
      </c>
      <c r="E209" s="24"/>
      <c r="F209" s="24" t="s">
        <v>734</v>
      </c>
      <c r="H209" s="24"/>
      <c r="I209" s="12" t="s">
        <v>84</v>
      </c>
      <c r="J209" s="24"/>
      <c r="K209" s="24"/>
      <c r="L209" s="35" t="s">
        <v>739</v>
      </c>
      <c r="M209" s="33" t="s">
        <v>799</v>
      </c>
    </row>
    <row r="210" spans="1:13" x14ac:dyDescent="0.25">
      <c r="A210" s="17">
        <v>197</v>
      </c>
      <c r="B210" s="41" t="s">
        <v>940</v>
      </c>
      <c r="C210" s="41" t="s">
        <v>973</v>
      </c>
      <c r="E210" s="24"/>
      <c r="F210" s="41" t="s">
        <v>941</v>
      </c>
      <c r="G210" s="43"/>
      <c r="H210" s="44"/>
      <c r="I210" s="42" t="s">
        <v>942</v>
      </c>
      <c r="J210" s="44"/>
      <c r="K210" s="44"/>
      <c r="L210" s="42" t="s">
        <v>943</v>
      </c>
      <c r="M210" s="42" t="s">
        <v>943</v>
      </c>
    </row>
    <row r="211" spans="1:13" x14ac:dyDescent="0.25">
      <c r="A211" s="17">
        <v>198</v>
      </c>
      <c r="B211" s="24" t="s">
        <v>26</v>
      </c>
      <c r="C211" s="24" t="s">
        <v>416</v>
      </c>
      <c r="D211" s="24" t="s">
        <v>501</v>
      </c>
      <c r="E211" s="24" t="s">
        <v>42</v>
      </c>
      <c r="F211" s="24" t="s">
        <v>35</v>
      </c>
      <c r="H211" s="24"/>
      <c r="I211" s="12" t="s">
        <v>84</v>
      </c>
      <c r="J211" s="24"/>
      <c r="K211" s="24"/>
      <c r="L211" s="12" t="s">
        <v>77</v>
      </c>
      <c r="M211" s="33" t="s">
        <v>77</v>
      </c>
    </row>
    <row r="212" spans="1:13" x14ac:dyDescent="0.25">
      <c r="A212" s="17">
        <v>199</v>
      </c>
      <c r="B212" s="24" t="s">
        <v>27</v>
      </c>
      <c r="C212" s="24" t="s">
        <v>417</v>
      </c>
      <c r="E212" s="24"/>
      <c r="F212" s="24" t="s">
        <v>16</v>
      </c>
      <c r="H212" s="24"/>
      <c r="I212" s="12" t="s">
        <v>84</v>
      </c>
      <c r="J212" s="24"/>
      <c r="K212" s="24"/>
      <c r="L212" s="12" t="s">
        <v>27</v>
      </c>
      <c r="M212" s="33" t="s">
        <v>27</v>
      </c>
    </row>
    <row r="213" spans="1:13" ht="15.75" x14ac:dyDescent="0.25">
      <c r="A213" s="17">
        <v>200</v>
      </c>
      <c r="B213" s="24" t="s">
        <v>79</v>
      </c>
      <c r="C213" s="24" t="s">
        <v>418</v>
      </c>
      <c r="E213" s="24"/>
      <c r="F213" s="24" t="s">
        <v>36</v>
      </c>
      <c r="H213" s="24"/>
      <c r="I213" s="12" t="s">
        <v>84</v>
      </c>
      <c r="J213" s="24"/>
      <c r="K213" s="24"/>
      <c r="L213" s="12" t="s">
        <v>645</v>
      </c>
      <c r="M213" s="33" t="s">
        <v>504</v>
      </c>
    </row>
    <row r="214" spans="1:13" ht="15.75" x14ac:dyDescent="0.25">
      <c r="A214" s="17">
        <v>201</v>
      </c>
      <c r="B214" s="24" t="s">
        <v>28</v>
      </c>
      <c r="C214" s="24" t="s">
        <v>419</v>
      </c>
      <c r="D214" s="24" t="s">
        <v>502</v>
      </c>
      <c r="E214" s="24" t="s">
        <v>42</v>
      </c>
      <c r="F214" s="24" t="s">
        <v>37</v>
      </c>
      <c r="H214" s="24"/>
      <c r="I214" s="12" t="s">
        <v>84</v>
      </c>
      <c r="J214" s="24"/>
      <c r="K214" s="24"/>
      <c r="L214" s="12" t="s">
        <v>646</v>
      </c>
      <c r="M214" s="33" t="s">
        <v>28</v>
      </c>
    </row>
    <row r="215" spans="1:13" ht="15.75" x14ac:dyDescent="0.25">
      <c r="A215" s="17">
        <v>202</v>
      </c>
      <c r="B215" s="24" t="s">
        <v>29</v>
      </c>
      <c r="C215" s="24" t="s">
        <v>420</v>
      </c>
      <c r="D215" s="24" t="s">
        <v>503</v>
      </c>
      <c r="E215" s="24" t="s">
        <v>42</v>
      </c>
      <c r="F215" s="24" t="s">
        <v>38</v>
      </c>
      <c r="H215" s="24"/>
      <c r="I215" s="12" t="s">
        <v>84</v>
      </c>
      <c r="J215" s="24"/>
      <c r="K215" s="24"/>
      <c r="L215" s="12" t="s">
        <v>647</v>
      </c>
      <c r="M215" s="33" t="s">
        <v>505</v>
      </c>
    </row>
    <row r="216" spans="1:13" ht="15.75" x14ac:dyDescent="0.25">
      <c r="A216" s="17">
        <v>203</v>
      </c>
      <c r="B216" s="24" t="s">
        <v>30</v>
      </c>
      <c r="C216" s="24" t="s">
        <v>421</v>
      </c>
      <c r="E216" s="24"/>
      <c r="F216" s="24" t="s">
        <v>37</v>
      </c>
      <c r="H216" s="24"/>
      <c r="I216" s="12" t="s">
        <v>84</v>
      </c>
      <c r="J216" s="24"/>
      <c r="K216" s="24"/>
      <c r="L216" s="12" t="s">
        <v>631</v>
      </c>
      <c r="M216" s="33" t="s">
        <v>30</v>
      </c>
    </row>
    <row r="217" spans="1:13" ht="15.75" x14ac:dyDescent="0.25">
      <c r="A217" s="17">
        <v>204</v>
      </c>
      <c r="B217" s="24" t="s">
        <v>31</v>
      </c>
      <c r="C217" s="24" t="s">
        <v>422</v>
      </c>
      <c r="E217" s="24"/>
      <c r="F217" s="24" t="s">
        <v>39</v>
      </c>
      <c r="H217" s="24"/>
      <c r="I217" s="12" t="s">
        <v>84</v>
      </c>
      <c r="J217" s="24"/>
      <c r="K217" s="24"/>
      <c r="L217" s="12" t="s">
        <v>648</v>
      </c>
      <c r="M217" s="33" t="s">
        <v>506</v>
      </c>
    </row>
    <row r="218" spans="1:13" ht="15.75" x14ac:dyDescent="0.25">
      <c r="A218" s="17">
        <v>205</v>
      </c>
      <c r="B218" s="24" t="s">
        <v>80</v>
      </c>
      <c r="C218" s="24" t="s">
        <v>423</v>
      </c>
      <c r="F218" s="24" t="s">
        <v>16</v>
      </c>
      <c r="H218" s="24"/>
      <c r="I218" s="12" t="s">
        <v>84</v>
      </c>
      <c r="J218" s="24"/>
      <c r="K218" s="24"/>
      <c r="L218" s="12" t="s">
        <v>649</v>
      </c>
      <c r="M218" s="33" t="s">
        <v>507</v>
      </c>
    </row>
    <row r="219" spans="1:13" x14ac:dyDescent="0.25">
      <c r="J219" s="24"/>
      <c r="K219" s="24"/>
    </row>
    <row r="220" spans="1:13" x14ac:dyDescent="0.25">
      <c r="J220" s="24"/>
      <c r="K220" s="24"/>
    </row>
    <row r="221" spans="1:13" x14ac:dyDescent="0.25">
      <c r="J221" s="24"/>
      <c r="K221" s="24"/>
    </row>
    <row r="222" spans="1:13" x14ac:dyDescent="0.25">
      <c r="J222" s="24"/>
      <c r="K222" s="24"/>
    </row>
    <row r="223" spans="1:13" x14ac:dyDescent="0.25">
      <c r="J223" s="24"/>
      <c r="K223" s="24"/>
    </row>
    <row r="224" spans="1:13" x14ac:dyDescent="0.25">
      <c r="J224" s="24"/>
      <c r="K224" s="24"/>
    </row>
    <row r="225" spans="10:11" x14ac:dyDescent="0.25">
      <c r="J225" s="24"/>
      <c r="K225" s="24"/>
    </row>
    <row r="226" spans="10:11" x14ac:dyDescent="0.25">
      <c r="J226" s="24"/>
      <c r="K226" s="24"/>
    </row>
    <row r="227" spans="10:11" x14ac:dyDescent="0.25">
      <c r="J227" s="24"/>
      <c r="K227" s="24"/>
    </row>
    <row r="228" spans="10:11" x14ac:dyDescent="0.25">
      <c r="J228" s="24"/>
      <c r="K228" s="24"/>
    </row>
    <row r="229" spans="10:11" x14ac:dyDescent="0.25">
      <c r="J229" s="24"/>
      <c r="K229" s="24"/>
    </row>
    <row r="230" spans="10:11" x14ac:dyDescent="0.25">
      <c r="J230" s="24"/>
      <c r="K230" s="24"/>
    </row>
  </sheetData>
  <autoFilter ref="A13:M218" xr:uid="{AEA66B50-81FA-477D-B582-8B09874ADD95}"/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5"/>
  <sheetViews>
    <sheetView zoomScale="85" zoomScaleNormal="85" workbookViewId="0">
      <selection activeCell="D5" sqref="D5"/>
    </sheetView>
  </sheetViews>
  <sheetFormatPr defaultColWidth="9" defaultRowHeight="15" x14ac:dyDescent="0.25"/>
  <cols>
    <col min="1" max="1" width="11.7109375" style="14" customWidth="1"/>
    <col min="2" max="3" width="10.42578125" style="14" customWidth="1"/>
    <col min="4" max="4" width="82" style="14" bestFit="1" customWidth="1"/>
    <col min="5" max="5" width="66.42578125" style="14" customWidth="1"/>
    <col min="6" max="16384" width="9" style="14"/>
  </cols>
  <sheetData>
    <row r="1" spans="1:5" ht="15.75" x14ac:dyDescent="0.25">
      <c r="A1" s="18"/>
      <c r="B1" s="18" t="s">
        <v>69</v>
      </c>
      <c r="C1" s="26" t="str">
        <f>+"https://10.11.62.82:28480/IRISIB/api/v1.0.0/party/"&amp;Spec!$C$1</f>
        <v>https://10.11.62.82:28480/IRISIB/api/v1.0.0/party/IL0004</v>
      </c>
      <c r="D1" s="18"/>
      <c r="E1" s="19"/>
    </row>
    <row r="2" spans="1:5" ht="15.75" x14ac:dyDescent="0.25">
      <c r="A2" s="19"/>
      <c r="B2" s="19" t="s">
        <v>70</v>
      </c>
      <c r="C2" s="26" t="str">
        <f>+"https://10.11.62.82:58480/IRISMB/api/v1.0.0/party/"&amp;Spec!$C$1</f>
        <v>https://10.11.62.82:58480/IRISMB/api/v1.0.0/party/IL0004</v>
      </c>
      <c r="E2" s="19"/>
    </row>
    <row r="3" spans="1:5" x14ac:dyDescent="0.25">
      <c r="A3" s="20"/>
      <c r="B3" s="27" t="s">
        <v>43</v>
      </c>
      <c r="C3" s="27" t="s">
        <v>44</v>
      </c>
      <c r="D3" s="27" t="s">
        <v>51</v>
      </c>
      <c r="E3" s="27" t="s">
        <v>17</v>
      </c>
    </row>
    <row r="4" spans="1:5" ht="409.5" x14ac:dyDescent="0.25">
      <c r="A4" s="20"/>
      <c r="B4" s="21" t="s">
        <v>45</v>
      </c>
      <c r="C4" s="21"/>
      <c r="D4" s="28" t="s">
        <v>930</v>
      </c>
      <c r="E4" s="22" t="s">
        <v>905</v>
      </c>
    </row>
    <row r="5" spans="1:5" ht="409.5" x14ac:dyDescent="0.25">
      <c r="A5" s="20"/>
      <c r="B5" s="21" t="s">
        <v>86</v>
      </c>
      <c r="C5" s="21"/>
      <c r="D5" s="28" t="s">
        <v>904</v>
      </c>
      <c r="E5" s="22" t="s">
        <v>906</v>
      </c>
    </row>
  </sheetData>
  <phoneticPr fontId="4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71D8E5-68ED-4B84-AAE6-DD37BFC48586}">
  <ds:schemaRefs>
    <ds:schemaRef ds:uri="http://purl.org/dc/elements/1.1/"/>
    <ds:schemaRef ds:uri="http://schemas.microsoft.com/office/2006/metadata/properties"/>
    <ds:schemaRef ds:uri="ab2e9cef-f5ae-4fca-a593-546d369e6708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C408DA3-8D86-4320-AFA4-E324A525B218}"/>
</file>

<file path=customXml/itemProps3.xml><?xml version="1.0" encoding="utf-8"?>
<ds:datastoreItem xmlns:ds="http://schemas.openxmlformats.org/officeDocument/2006/customXml" ds:itemID="{9912C0E4-42E9-489F-B9A2-3C9DF0F7DB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Document History</vt:lpstr>
      <vt:lpstr>Spec</vt:lpstr>
      <vt:lpstr>JSON Request-Response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陳筱雅Anna Chen-核心應用部-永豐銀行</cp:lastModifiedBy>
  <cp:revision/>
  <dcterms:created xsi:type="dcterms:W3CDTF">2020-03-13T10:54:50Z</dcterms:created>
  <dcterms:modified xsi:type="dcterms:W3CDTF">2025-05-12T10:04:15Z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