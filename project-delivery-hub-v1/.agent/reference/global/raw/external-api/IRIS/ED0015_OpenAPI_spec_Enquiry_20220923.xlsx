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3889\Desktop\新網銀(IRIS)\ENQ.API.ED0015.1.0.0\"/>
    </mc:Choice>
  </mc:AlternateContent>
  <xr:revisionPtr revIDLastSave="0" documentId="13_ncr:1_{5991B7C1-E2F8-47F6-B4A6-4FEE6323C039}" xr6:coauthVersionLast="47" xr6:coauthVersionMax="47" xr10:uidLastSave="{00000000-0000-0000-0000-000000000000}"/>
  <bookViews>
    <workbookView xWindow="5040" yWindow="1215" windowWidth="18840" windowHeight="1314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3" i="2" l="1"/>
  <c r="C2" i="3" l="1"/>
  <c r="C1" i="3"/>
</calcChain>
</file>

<file path=xl/sharedStrings.xml><?xml version="1.0" encoding="utf-8"?>
<sst xmlns="http://schemas.openxmlformats.org/spreadsheetml/2006/main" count="225" uniqueCount="170">
  <si>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</si>
  <si>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</si>
  <si>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</si>
  <si>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</si>
  <si>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</si>
  <si>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</si>
  <si>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</si>
  <si>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</si>
  <si>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</si>
  <si>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</si>
  <si>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</si>
  <si>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</si>
  <si>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</si>
  <si>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</si>
  <si>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</si>
  <si>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</si>
  <si>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</si>
  <si>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</si>
  <si>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</si>
  <si>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</si>
  <si>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</si>
  <si>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</si>
  <si>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EQ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</si>
  <si>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</si>
  <si>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</si>
  <si>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</si>
  <si>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</si>
  <si>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</si>
  <si>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</si>
  <si>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</si>
  <si>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</si>
  <si>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</si>
  <si>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</si>
  <si>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</si>
  <si>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</si>
  <si>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</si>
  <si>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</si>
  <si>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</si>
  <si>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</si>
  <si>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</si>
  <si>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Currency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</si>
  <si>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微軟正黑體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微軟正黑體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 xml:space="preserve">page_token + page_start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</si>
  <si>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r>
      <rPr>
        <sz val="11"/>
        <rFont val="微軟正黑體"/>
        <family val="2"/>
        <charset val="136"/>
      </rPr>
      <t>欄位名稱</t>
    </r>
    <phoneticPr fontId="3" type="noConversion"/>
  </si>
  <si>
    <r>
      <rPr>
        <sz val="11"/>
        <rFont val="微軟正黑體"/>
        <family val="2"/>
        <charset val="136"/>
      </rPr>
      <t>對應</t>
    </r>
    <r>
      <rPr>
        <sz val="11"/>
        <rFont val="Calibri"/>
        <family val="2"/>
      </rPr>
      <t>API Vocabulary</t>
    </r>
    <phoneticPr fontId="3" type="noConversion"/>
  </si>
  <si>
    <r>
      <rPr>
        <sz val="11"/>
        <rFont val="微軟正黑體"/>
        <family val="2"/>
        <charset val="136"/>
      </rPr>
      <t>分組</t>
    </r>
    <r>
      <rPr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</si>
  <si>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sz val="11"/>
        <rFont val="微軟正黑體"/>
        <family val="2"/>
        <charset val="136"/>
      </rPr>
      <t>空白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，</t>
    </r>
    <r>
      <rPr>
        <sz val="11"/>
        <rFont val="Calibri"/>
        <family val="2"/>
      </rPr>
      <t>Multi(XX&lt;,XX-,XX&gt;)</t>
    </r>
    <phoneticPr fontId="3" type="noConversion"/>
  </si>
  <si>
    <r>
      <rPr>
        <sz val="11"/>
        <rFont val="微軟正黑體"/>
        <family val="2"/>
        <charset val="136"/>
      </rPr>
      <t>欄位長度</t>
    </r>
    <r>
      <rPr>
        <sz val="11"/>
        <rFont val="Calibri"/>
        <family val="2"/>
      </rPr>
      <t>+(</t>
    </r>
    <r>
      <rPr>
        <sz val="11"/>
        <rFont val="微軟正黑體"/>
        <family val="2"/>
        <charset val="136"/>
      </rPr>
      <t>靠左</t>
    </r>
    <r>
      <rPr>
        <sz val="11"/>
        <rFont val="Calibri"/>
        <family val="2"/>
      </rPr>
      <t>L,</t>
    </r>
    <r>
      <rPr>
        <sz val="11"/>
        <rFont val="微軟正黑體"/>
        <family val="2"/>
        <charset val="136"/>
      </rPr>
      <t>靠右</t>
    </r>
    <r>
      <rPr>
        <sz val="11"/>
        <rFont val="Calibri"/>
        <family val="2"/>
      </rPr>
      <t>R)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</si>
  <si>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</si>
  <si>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</si>
  <si>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r>
      <rPr>
        <sz val="11"/>
        <color theme="1"/>
        <rFont val="微軟正黑體"/>
        <family val="2"/>
        <charset val="136"/>
      </rPr>
      <t>幣別</t>
    </r>
    <phoneticPr fontId="3" type="noConversion"/>
  </si>
  <si>
    <t>35L</t>
    <phoneticPr fontId="3" type="noConversion"/>
  </si>
  <si>
    <t>3L</t>
    <phoneticPr fontId="3" type="noConversion"/>
  </si>
  <si>
    <t>6L</t>
    <phoneticPr fontId="3" type="noConversion"/>
  </si>
  <si>
    <t>16L</t>
    <phoneticPr fontId="3" type="noConversion"/>
  </si>
  <si>
    <t>Tax code</t>
    <phoneticPr fontId="3" type="noConversion"/>
  </si>
  <si>
    <t>外圍系統虛擬帳號明細查詢</t>
    <phoneticPr fontId="3" type="noConversion"/>
  </si>
  <si>
    <t>ED0015</t>
    <phoneticPr fontId="3" type="noConversion"/>
  </si>
  <si>
    <t>TMBI.S0230.VR.TXN.DATE.ENQ</t>
    <phoneticPr fontId="3" type="noConversion"/>
  </si>
  <si>
    <t>ENQ.AC.MAP.CODE</t>
  </si>
  <si>
    <t>ENQ.ACCT.ID</t>
  </si>
  <si>
    <t>ENQ.ACCT.CURR</t>
  </si>
  <si>
    <t>ENQ.TXN.DATE</t>
  </si>
  <si>
    <t>ENQ.TXN.TIME</t>
  </si>
  <si>
    <t>ENQ.AC.MAP.DTL</t>
  </si>
  <si>
    <t>ENQ.OUT.DIR</t>
  </si>
  <si>
    <t>ENQ.OUT.NAME</t>
  </si>
  <si>
    <t>EnqAcMapCode</t>
  </si>
  <si>
    <t>EnqTxnDate</t>
  </si>
  <si>
    <t>EnqTxnTime</t>
  </si>
  <si>
    <t xml:space="preserve">EQ </t>
    <phoneticPr fontId="3" type="noConversion"/>
  </si>
  <si>
    <t>E.VR.AC.MAP.CODE</t>
  </si>
  <si>
    <t>E.VR.AC.DESC</t>
  </si>
  <si>
    <t>E.VR.AC.TXN.CUR</t>
  </si>
  <si>
    <t>E.CURR.REAL.ACCT</t>
  </si>
  <si>
    <t>E.TXN.DATE</t>
  </si>
  <si>
    <t>E.TXN.TIME</t>
  </si>
  <si>
    <t>E.VR.AC.MAP.DTL</t>
  </si>
  <si>
    <t>E.VR.MAP.DTL.DESC</t>
  </si>
  <si>
    <t>E.TXN.AMOUNT</t>
  </si>
  <si>
    <t>E.TXN.REF</t>
  </si>
  <si>
    <t>E.BOOKING.DATE</t>
  </si>
  <si>
    <t>E.REV.FLG</t>
  </si>
  <si>
    <t>EXT.TXN.REM.F</t>
  </si>
  <si>
    <t>EXT.TXN.MEMO</t>
  </si>
  <si>
    <t>E.TF.TXN.REF</t>
  </si>
  <si>
    <t>E.TXN.CHNN</t>
  </si>
  <si>
    <t>E.BANK.CODE</t>
  </si>
  <si>
    <t>E.AC.NO</t>
  </si>
  <si>
    <t>E.INP.BR</t>
  </si>
  <si>
    <t>E.MAIN.AC.NO</t>
  </si>
  <si>
    <t>EnqEVrAcMapCode</t>
  </si>
  <si>
    <t>EnqEVrAcDesc</t>
  </si>
  <si>
    <t>EnqEVrAcTxnCur</t>
  </si>
  <si>
    <t>EnqECurrRealAcct</t>
  </si>
  <si>
    <t>EnqETxnDate</t>
  </si>
  <si>
    <t>EnqETxnTime</t>
  </si>
  <si>
    <t>EnqEVrAcMapDtl</t>
  </si>
  <si>
    <t>EnqEVrMapDtlDesc</t>
  </si>
  <si>
    <t>EnqETxnAmount</t>
  </si>
  <si>
    <t>EnqETxnRef</t>
  </si>
  <si>
    <t>EnqEBookingDate</t>
  </si>
  <si>
    <t>EnqERevFlg</t>
  </si>
  <si>
    <t>EnqExtTxnRemF</t>
  </si>
  <si>
    <t>EnqExtTxnMemo</t>
  </si>
  <si>
    <t>EnqETfTxnRef</t>
  </si>
  <si>
    <t>EnqETxnChnn</t>
  </si>
  <si>
    <t>EnqEBankCode</t>
  </si>
  <si>
    <t>EnqEAcNo</t>
  </si>
  <si>
    <t>EnqEInpBr</t>
  </si>
  <si>
    <t>EnqEMainAcNo</t>
  </si>
  <si>
    <t>林瑋倫</t>
    <phoneticPr fontId="3" type="noConversion"/>
  </si>
  <si>
    <t>15L</t>
    <phoneticPr fontId="3" type="noConversion"/>
  </si>
  <si>
    <t>65L</t>
    <phoneticPr fontId="3" type="noConversion"/>
  </si>
  <si>
    <t>19L</t>
    <phoneticPr fontId="3" type="noConversion"/>
  </si>
  <si>
    <t>8L</t>
    <phoneticPr fontId="3" type="noConversion"/>
  </si>
  <si>
    <t>60L</t>
    <phoneticPr fontId="3" type="noConversion"/>
  </si>
  <si>
    <t>11L</t>
    <phoneticPr fontId="3" type="noConversion"/>
  </si>
  <si>
    <t>1L</t>
    <phoneticPr fontId="3" type="noConversion"/>
  </si>
  <si>
    <t>140L</t>
    <phoneticPr fontId="3" type="noConversion"/>
  </si>
  <si>
    <t>專案代號</t>
    <phoneticPr fontId="3" type="noConversion"/>
  </si>
  <si>
    <t>專案名稱</t>
    <phoneticPr fontId="3" type="noConversion"/>
  </si>
  <si>
    <t>交易帳號</t>
    <phoneticPr fontId="3" type="noConversion"/>
  </si>
  <si>
    <t>DESCRIPTION</t>
    <phoneticPr fontId="3" type="noConversion"/>
  </si>
  <si>
    <t>ACCOUNT</t>
    <phoneticPr fontId="3" type="noConversion"/>
  </si>
  <si>
    <t>交易日</t>
    <phoneticPr fontId="3" type="noConversion"/>
  </si>
  <si>
    <t>交易時間</t>
    <phoneticPr fontId="3" type="noConversion"/>
  </si>
  <si>
    <t>銷帳編號</t>
    <phoneticPr fontId="20" type="noConversion"/>
  </si>
  <si>
    <t>銷帳編號名稱</t>
    <phoneticPr fontId="20" type="noConversion"/>
  </si>
  <si>
    <t>交易金額</t>
    <phoneticPr fontId="20" type="noConversion"/>
  </si>
  <si>
    <t>交易代號</t>
    <phoneticPr fontId="20" type="noConversion"/>
  </si>
  <si>
    <t>帳務日</t>
    <phoneticPr fontId="20" type="noConversion"/>
  </si>
  <si>
    <t>更正註記</t>
    <phoneticPr fontId="3" type="noConversion"/>
  </si>
  <si>
    <t>長備註</t>
    <phoneticPr fontId="3" type="noConversion"/>
  </si>
  <si>
    <t>摘要</t>
    <phoneticPr fontId="3" type="noConversion"/>
  </si>
  <si>
    <r>
      <t xml:space="preserve">FCY </t>
    </r>
    <r>
      <rPr>
        <sz val="11"/>
        <color theme="1"/>
        <rFont val="細明體"/>
        <family val="2"/>
        <charset val="136"/>
      </rPr>
      <t>交易代號</t>
    </r>
    <phoneticPr fontId="3" type="noConversion"/>
  </si>
  <si>
    <t>通路代碼</t>
    <phoneticPr fontId="3" type="noConversion"/>
  </si>
  <si>
    <t>對方行庫代碼</t>
    <phoneticPr fontId="3" type="noConversion"/>
  </si>
  <si>
    <t>對方帳號</t>
    <phoneticPr fontId="3" type="noConversion"/>
  </si>
  <si>
    <t>輸入行</t>
    <phoneticPr fontId="3" type="noConversion"/>
  </si>
  <si>
    <t>主帳號</t>
    <phoneticPr fontId="3" type="noConversion"/>
  </si>
  <si>
    <t>TXN DATE</t>
    <phoneticPr fontId="3" type="noConversion"/>
  </si>
  <si>
    <t>TXN TIMES</t>
    <phoneticPr fontId="3" type="noConversion"/>
  </si>
  <si>
    <t>AMOUNT</t>
    <phoneticPr fontId="3" type="noConversion"/>
  </si>
  <si>
    <t>FCY transaction reference number</t>
    <phoneticPr fontId="3" type="noConversion"/>
  </si>
  <si>
    <t>transaction reference number</t>
  </si>
  <si>
    <t>REVERSAL.MARKER</t>
    <phoneticPr fontId="3" type="noConversion"/>
  </si>
  <si>
    <t>remark information</t>
  </si>
  <si>
    <t>MEMO</t>
    <phoneticPr fontId="3" type="noConversion"/>
  </si>
  <si>
    <t>CHNN CODE</t>
    <phoneticPr fontId="3" type="noConversion"/>
  </si>
  <si>
    <t>BANK CODE</t>
    <phoneticPr fontId="3" type="noConversion"/>
  </si>
  <si>
    <t>OTHER SIDE ACCOUNT</t>
    <phoneticPr fontId="3" type="noConversion"/>
  </si>
  <si>
    <t>INPUT BRANCH</t>
    <phoneticPr fontId="3" type="noConversion"/>
  </si>
  <si>
    <t>AIO MAIN ACCOUNT</t>
    <phoneticPr fontId="3" type="noConversion"/>
  </si>
  <si>
    <t>EnqAcMapCode:304
EnqTxnDate2:20220922 20220923</t>
    <phoneticPr fontId="3" type="noConversion"/>
  </si>
  <si>
    <r>
      <t>{
  "header": {
    "audit": {
      "T24_time": 91,
      "parse_time": 0
    },
    "page_start": 1,
    "page_token": "7821736175.01,99",
    "total_size": 1,
    "page_size": 99,
    "status": "success"
  },
  "body": [
    {
      "EnqEVrAcDesc": "</t>
    </r>
    <r>
      <rPr>
        <sz val="11"/>
        <color theme="1"/>
        <rFont val="細明體"/>
        <family val="2"/>
        <charset val="136"/>
      </rPr>
      <t>公會費用</t>
    </r>
    <r>
      <rPr>
        <sz val="11"/>
        <color theme="1"/>
        <rFont val="Calibri"/>
        <family val="2"/>
      </rPr>
      <t>",
      "EnqETxnDate": "20220923",
      "EnqEBookingDate": "20220923",
      "EnqETxnTime": "100111",
      "EnqETxnChnn": "BRANCH",
      "EnqECurrRealAcct": "04801800056683",
      "EnqETxnRef": "FT22266FVSQ0\\A01",
      "EnqExtTxnMemo": "001",
      "EnqEVrAcTxnCur": "TWD",
      "EnqEInpBr": "001",
      "EnqEVrAcMapDtl": "30400000000001",
      "EnqETxnAmount": "2300",
      "EnqEVrAcMapCode": "304"
    }
  ]
}</t>
    </r>
    <phoneticPr fontId="3" type="noConversion"/>
  </si>
  <si>
    <t>NE</t>
    <phoneticPr fontId="3" type="noConversion"/>
  </si>
  <si>
    <t>RG</t>
    <phoneticPr fontId="3" type="noConversion"/>
  </si>
  <si>
    <t xml:space="preserve">EQ </t>
    <phoneticPr fontId="3" type="noConversion"/>
  </si>
  <si>
    <t>EnqAcctCurr2</t>
    <phoneticPr fontId="3" type="noConversion"/>
  </si>
  <si>
    <t>EnqTxnDate2</t>
    <phoneticPr fontId="3" type="noConversion"/>
  </si>
  <si>
    <t>EnqAcMapDtl</t>
    <phoneticPr fontId="3" type="noConversion"/>
  </si>
  <si>
    <t>EnqTxnTime2</t>
    <phoneticPr fontId="3" type="noConversion"/>
  </si>
  <si>
    <t>EnqAcctId</t>
    <phoneticPr fontId="3" type="noConversion"/>
  </si>
  <si>
    <t>EnqAcctCurr</t>
    <phoneticPr fontId="3" type="noConversion"/>
  </si>
  <si>
    <t>EnqOutDir</t>
    <phoneticPr fontId="3" type="noConversion"/>
  </si>
  <si>
    <t>EnqOutName</t>
    <phoneticPr fontId="3" type="noConversion"/>
  </si>
  <si>
    <t>EnqTxnDate2:20220922 20220923
EnqAcctId:04801800056683
EnqAcctCurr:TWD</t>
    <phoneticPr fontId="3" type="noConversion"/>
  </si>
  <si>
    <r>
      <t>{
  "header": {
    "audit": {
      "T24_time": 916,
      "parse_time": 0
    },
    "page_start": 1,
    "page_token": "3272957273.02,99",
    "total_size": 1,
    "page_size": 99,
    "status": "success"
  },
  "body": [
    {
      "EnqEVrAcDesc": "</t>
    </r>
    <r>
      <rPr>
        <sz val="11"/>
        <color theme="1"/>
        <rFont val="細明體"/>
        <family val="2"/>
        <charset val="136"/>
      </rPr>
      <t>公會費用</t>
    </r>
    <r>
      <rPr>
        <sz val="11"/>
        <color theme="1"/>
        <rFont val="Calibri"/>
        <family val="2"/>
      </rPr>
      <t>",
      "EnqETxnDate": "20220923",
      "EnqEBookingDate": "20220923",
      "EnqETxnTime": "100111",
      "EnqETxnChnn": "BRANCH",
      "EnqECurrRealAcct": "04801800056683",
      "EnqETxnRef": "FT22266FVSQ0\\A01",
      "EnqExtTxnMemo": "001",
      "EnqEVrAcTxnCur": "TWD",
      "EnqEInpBr": "001",
      "EnqEVrAcMapDtl": "30400000000001",
      "EnqETxnAmount": "2300",
      "EnqEVrAcMapCode": "304"
    }
  ]
}</t>
    </r>
    <phoneticPr fontId="3" type="noConversion"/>
  </si>
  <si>
    <t>EnqTxnDate2:20220922 20220923
EnqAcctId:04801800056683
EnqAcctCurr:TWD
EnqOutDir:FCSOUT.BATCH
EnqOutName:VRENQTEST2.TXT</t>
    <phoneticPr fontId="3" type="noConversion"/>
  </si>
  <si>
    <t xml:space="preserve">
{
  "header": {
    "audit": {
      "T24_time": 947,
      "parse_time": 0
    },
    "page_start": 1,
    "page_token": "3272957534.01,99",
    "total_size": 1,
    "page_size": 99,
    "status": "success"
  },
  "body": [
    {
      "EnqEVrAcMapCode": "UPDATE.SUCCESS"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</si>
</sst>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9"/>
      <name val="新細明體"/>
      <family val="1"/>
      <charset val="136"/>
    </font>
    <font>
      <sz val="10"/>
      <color theme="1"/>
      <name val="Calibri"/>
      <family val="2"/>
    </font>
    <font>
      <sz val="11"/>
      <color rgb="FF569CD6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left"/>
    </xf>
    <xf numFmtId="0" fontId="14" fillId="0" borderId="6" xfId="0" applyFont="1" applyBorder="1"/>
    <xf numFmtId="0" fontId="21" fillId="0" borderId="0" xfId="0" applyFont="1" applyAlignment="1">
      <alignment vertical="center"/>
    </xf>
    <xf numFmtId="0" fontId="21" fillId="0" borderId="6" xfId="0" applyFont="1" applyBorder="1" applyAlignment="1">
      <alignment vertic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0" fillId="0" borderId="6" xfId="0" applyBorder="1" applyAlignment="1">
      <alignment vertical="top"/>
    </xf>
    <xf numFmtId="0" fontId="2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C4" sqref="C4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4" t="s">
        <v>19</v>
      </c>
      <c r="B1" s="45"/>
      <c r="C1" s="45"/>
      <c r="D1" s="45"/>
      <c r="E1" s="45"/>
    </row>
    <row r="2" spans="1:5" ht="20.100000000000001" customHeight="1" thickBot="1" x14ac:dyDescent="0.3">
      <c r="A2" s="41" t="s">
        <v>34</v>
      </c>
      <c r="B2" s="42"/>
      <c r="C2" s="42"/>
      <c r="D2" s="42"/>
      <c r="E2" s="43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44827</v>
      </c>
      <c r="C4" s="5" t="s">
        <v>6</v>
      </c>
      <c r="D4" s="32" t="s">
        <v>110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47"/>
  <sheetViews>
    <sheetView tabSelected="1" topLeftCell="A4" zoomScale="90" zoomScaleNormal="90" workbookViewId="0">
      <selection activeCell="E7" sqref="E7"/>
    </sheetView>
  </sheetViews>
  <sheetFormatPr defaultColWidth="8.85546875" defaultRowHeight="15" x14ac:dyDescent="0.2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8.42578125" style="12" bestFit="1" customWidth="1"/>
    <col min="8" max="8" width="45.28515625" style="12" bestFit="1" customWidth="1"/>
    <col min="9" max="16384" width="8.85546875" style="12"/>
  </cols>
  <sheetData>
    <row r="1" spans="2:5" x14ac:dyDescent="0.25">
      <c r="B1" s="10" t="s">
        <v>38</v>
      </c>
      <c r="C1" s="11" t="s">
        <v>56</v>
      </c>
    </row>
    <row r="2" spans="2:5" x14ac:dyDescent="0.25">
      <c r="B2" s="10" t="s">
        <v>35</v>
      </c>
      <c r="C2" s="34" t="s">
        <v>55</v>
      </c>
    </row>
    <row r="3" spans="2:5" x14ac:dyDescent="0.25">
      <c r="B3" s="10" t="s">
        <v>8</v>
      </c>
      <c r="C3" s="11" t="str">
        <f>+"/api/v1.0.0/party/"&amp;C1</f>
        <v>/api/v1.0.0/party/ED0015</v>
      </c>
    </row>
    <row r="4" spans="2:5" ht="90" x14ac:dyDescent="0.25">
      <c r="B4" s="10" t="s">
        <v>21</v>
      </c>
      <c r="C4" s="13" t="s">
        <v>41</v>
      </c>
    </row>
    <row r="5" spans="2:5" x14ac:dyDescent="0.25">
      <c r="B5" s="10" t="s">
        <v>26</v>
      </c>
      <c r="C5" s="11" t="s">
        <v>9</v>
      </c>
    </row>
    <row r="6" spans="2:5" x14ac:dyDescent="0.25">
      <c r="B6" s="10" t="s">
        <v>20</v>
      </c>
      <c r="C6" s="11" t="s">
        <v>10</v>
      </c>
    </row>
    <row r="7" spans="2:5" x14ac:dyDescent="0.25">
      <c r="B7" s="10" t="s">
        <v>31</v>
      </c>
      <c r="C7" s="11" t="s">
        <v>57</v>
      </c>
    </row>
    <row r="8" spans="2:5" x14ac:dyDescent="0.25">
      <c r="B8" s="10" t="s">
        <v>23</v>
      </c>
      <c r="C8" s="11" t="str">
        <f>+"ENQ.API."&amp;$C$1&amp;".1.0.0"</f>
        <v>ENQ.API.ED0015.1.0.0</v>
      </c>
    </row>
    <row r="9" spans="2:5" x14ac:dyDescent="0.25">
      <c r="B9" s="12"/>
    </row>
    <row r="10" spans="2:5" x14ac:dyDescent="0.25">
      <c r="B10" s="12"/>
    </row>
    <row r="11" spans="2:5" x14ac:dyDescent="0.25">
      <c r="B11" s="10" t="s">
        <v>11</v>
      </c>
      <c r="C11" s="14" t="s">
        <v>36</v>
      </c>
      <c r="D11" s="10" t="s">
        <v>12</v>
      </c>
      <c r="E11" s="15" t="s">
        <v>39</v>
      </c>
    </row>
    <row r="12" spans="2:5" x14ac:dyDescent="0.25">
      <c r="B12" s="36" t="s">
        <v>58</v>
      </c>
      <c r="C12" s="16" t="s">
        <v>66</v>
      </c>
      <c r="D12" s="11" t="s">
        <v>22</v>
      </c>
      <c r="E12" s="11"/>
    </row>
    <row r="13" spans="2:5" x14ac:dyDescent="0.25">
      <c r="B13" s="36" t="s">
        <v>59</v>
      </c>
      <c r="C13" s="16" t="s">
        <v>162</v>
      </c>
      <c r="D13" s="11" t="s">
        <v>13</v>
      </c>
      <c r="E13" s="11"/>
    </row>
    <row r="14" spans="2:5" x14ac:dyDescent="0.25">
      <c r="B14" s="36" t="s">
        <v>60</v>
      </c>
      <c r="C14" s="16" t="s">
        <v>163</v>
      </c>
      <c r="D14" s="36" t="s">
        <v>157</v>
      </c>
      <c r="E14" s="11"/>
    </row>
    <row r="15" spans="2:5" x14ac:dyDescent="0.25">
      <c r="B15" s="36" t="s">
        <v>60</v>
      </c>
      <c r="C15" s="16" t="s">
        <v>158</v>
      </c>
      <c r="D15" s="36" t="s">
        <v>155</v>
      </c>
      <c r="E15" s="11"/>
    </row>
    <row r="16" spans="2:5" x14ac:dyDescent="0.25">
      <c r="B16" s="36" t="s">
        <v>61</v>
      </c>
      <c r="C16" s="16" t="s">
        <v>67</v>
      </c>
      <c r="D16" s="11" t="s">
        <v>69</v>
      </c>
      <c r="E16" s="11"/>
    </row>
    <row r="17" spans="1:8" x14ac:dyDescent="0.25">
      <c r="B17" s="36" t="s">
        <v>61</v>
      </c>
      <c r="C17" s="16" t="s">
        <v>159</v>
      </c>
      <c r="D17" s="11" t="s">
        <v>156</v>
      </c>
      <c r="E17" s="11"/>
    </row>
    <row r="18" spans="1:8" x14ac:dyDescent="0.25">
      <c r="B18" s="36" t="s">
        <v>62</v>
      </c>
      <c r="C18" s="16" t="s">
        <v>68</v>
      </c>
      <c r="D18" s="11" t="s">
        <v>157</v>
      </c>
      <c r="E18" s="11"/>
    </row>
    <row r="19" spans="1:8" x14ac:dyDescent="0.25">
      <c r="B19" s="36" t="s">
        <v>62</v>
      </c>
      <c r="C19" s="16" t="s">
        <v>161</v>
      </c>
      <c r="D19" s="11" t="s">
        <v>156</v>
      </c>
      <c r="E19" s="11"/>
    </row>
    <row r="20" spans="1:8" x14ac:dyDescent="0.25">
      <c r="B20" s="36" t="s">
        <v>63</v>
      </c>
      <c r="C20" s="16" t="s">
        <v>160</v>
      </c>
      <c r="D20" s="11" t="s">
        <v>13</v>
      </c>
      <c r="E20" s="11"/>
    </row>
    <row r="21" spans="1:8" x14ac:dyDescent="0.25">
      <c r="B21" s="36" t="s">
        <v>64</v>
      </c>
      <c r="C21" s="16" t="s">
        <v>164</v>
      </c>
      <c r="D21" s="11" t="s">
        <v>13</v>
      </c>
      <c r="E21" s="11"/>
    </row>
    <row r="22" spans="1:8" x14ac:dyDescent="0.25">
      <c r="B22" s="36" t="s">
        <v>65</v>
      </c>
      <c r="C22" s="16" t="s">
        <v>165</v>
      </c>
      <c r="D22" s="11" t="s">
        <v>13</v>
      </c>
      <c r="E22" s="11"/>
    </row>
    <row r="23" spans="1:8" x14ac:dyDescent="0.25">
      <c r="B23" s="12"/>
      <c r="C23" s="17"/>
    </row>
    <row r="24" spans="1:8" x14ac:dyDescent="0.25">
      <c r="B24" s="12"/>
      <c r="D24" s="17"/>
    </row>
    <row r="25" spans="1:8" x14ac:dyDescent="0.25">
      <c r="A25" s="18"/>
      <c r="B25" s="17"/>
      <c r="C25" s="18"/>
      <c r="D25" s="17"/>
      <c r="E25" s="17"/>
      <c r="F25" s="17"/>
    </row>
    <row r="26" spans="1:8" s="21" customFormat="1" x14ac:dyDescent="0.25">
      <c r="A26" s="19" t="s">
        <v>14</v>
      </c>
      <c r="B26" s="19" t="s">
        <v>15</v>
      </c>
      <c r="C26" s="19" t="s">
        <v>37</v>
      </c>
      <c r="D26" s="20" t="s">
        <v>24</v>
      </c>
      <c r="E26" s="19" t="s">
        <v>16</v>
      </c>
      <c r="F26" s="19" t="s">
        <v>17</v>
      </c>
      <c r="G26" s="19" t="s">
        <v>25</v>
      </c>
      <c r="H26" s="19" t="s">
        <v>25</v>
      </c>
    </row>
    <row r="27" spans="1:8" s="21" customFormat="1" x14ac:dyDescent="0.25">
      <c r="A27" s="33"/>
      <c r="B27" s="33" t="s">
        <v>42</v>
      </c>
      <c r="C27" s="33" t="s">
        <v>43</v>
      </c>
      <c r="D27" s="33" t="s">
        <v>44</v>
      </c>
      <c r="E27" s="33" t="s">
        <v>45</v>
      </c>
      <c r="F27" s="33" t="s">
        <v>46</v>
      </c>
      <c r="G27" s="33" t="s">
        <v>47</v>
      </c>
      <c r="H27" s="33" t="s">
        <v>48</v>
      </c>
    </row>
    <row r="28" spans="1:8" ht="15.75" x14ac:dyDescent="0.25">
      <c r="A28" s="12">
        <v>1</v>
      </c>
      <c r="B28" s="35" t="s">
        <v>70</v>
      </c>
      <c r="C28" s="35" t="s">
        <v>90</v>
      </c>
      <c r="F28" s="12" t="s">
        <v>111</v>
      </c>
      <c r="G28" s="37" t="s">
        <v>119</v>
      </c>
      <c r="H28" s="9"/>
    </row>
    <row r="29" spans="1:8" ht="15.75" x14ac:dyDescent="0.25">
      <c r="A29" s="12">
        <v>2</v>
      </c>
      <c r="B29" s="35" t="s">
        <v>71</v>
      </c>
      <c r="C29" s="35" t="s">
        <v>91</v>
      </c>
      <c r="F29" s="12" t="s">
        <v>112</v>
      </c>
      <c r="G29" s="37" t="s">
        <v>120</v>
      </c>
      <c r="H29" s="9" t="s">
        <v>122</v>
      </c>
    </row>
    <row r="30" spans="1:8" x14ac:dyDescent="0.25">
      <c r="A30" s="12">
        <v>3</v>
      </c>
      <c r="B30" s="35" t="s">
        <v>72</v>
      </c>
      <c r="C30" s="35" t="s">
        <v>92</v>
      </c>
      <c r="F30" s="12" t="s">
        <v>51</v>
      </c>
      <c r="G30" s="9" t="s">
        <v>49</v>
      </c>
      <c r="H30" s="9" t="s">
        <v>40</v>
      </c>
    </row>
    <row r="31" spans="1:8" ht="15.75" x14ac:dyDescent="0.25">
      <c r="A31" s="12">
        <v>4</v>
      </c>
      <c r="B31" s="35" t="s">
        <v>73</v>
      </c>
      <c r="C31" s="35" t="s">
        <v>93</v>
      </c>
      <c r="F31" s="12" t="s">
        <v>113</v>
      </c>
      <c r="G31" s="37" t="s">
        <v>121</v>
      </c>
      <c r="H31" s="9" t="s">
        <v>123</v>
      </c>
    </row>
    <row r="32" spans="1:8" ht="15.75" x14ac:dyDescent="0.25">
      <c r="A32" s="12">
        <v>5</v>
      </c>
      <c r="B32" s="35" t="s">
        <v>74</v>
      </c>
      <c r="C32" s="35" t="s">
        <v>94</v>
      </c>
      <c r="F32" s="12" t="s">
        <v>114</v>
      </c>
      <c r="G32" s="37" t="s">
        <v>124</v>
      </c>
      <c r="H32" s="9" t="s">
        <v>140</v>
      </c>
    </row>
    <row r="33" spans="1:8" ht="15.75" x14ac:dyDescent="0.25">
      <c r="A33" s="12">
        <v>6</v>
      </c>
      <c r="B33" s="35" t="s">
        <v>75</v>
      </c>
      <c r="C33" s="35" t="s">
        <v>95</v>
      </c>
      <c r="F33" s="12" t="s">
        <v>52</v>
      </c>
      <c r="G33" s="38" t="s">
        <v>125</v>
      </c>
      <c r="H33" s="9" t="s">
        <v>141</v>
      </c>
    </row>
    <row r="34" spans="1:8" ht="15.75" x14ac:dyDescent="0.25">
      <c r="A34" s="12">
        <v>7</v>
      </c>
      <c r="B34" s="35" t="s">
        <v>76</v>
      </c>
      <c r="C34" s="35" t="s">
        <v>96</v>
      </c>
      <c r="F34" s="12" t="s">
        <v>113</v>
      </c>
      <c r="G34" s="38" t="s">
        <v>126</v>
      </c>
    </row>
    <row r="35" spans="1:8" ht="15.75" x14ac:dyDescent="0.25">
      <c r="A35" s="12">
        <v>8</v>
      </c>
      <c r="B35" s="35" t="s">
        <v>77</v>
      </c>
      <c r="C35" s="35" t="s">
        <v>97</v>
      </c>
      <c r="F35" s="12" t="s">
        <v>112</v>
      </c>
      <c r="G35" s="38" t="s">
        <v>127</v>
      </c>
      <c r="H35" s="9" t="s">
        <v>122</v>
      </c>
    </row>
    <row r="36" spans="1:8" ht="15.75" x14ac:dyDescent="0.25">
      <c r="A36" s="12">
        <v>9</v>
      </c>
      <c r="B36" s="35" t="s">
        <v>78</v>
      </c>
      <c r="C36" s="35" t="s">
        <v>98</v>
      </c>
      <c r="F36" s="12" t="s">
        <v>113</v>
      </c>
      <c r="G36" s="38" t="s">
        <v>128</v>
      </c>
      <c r="H36" s="12" t="s">
        <v>142</v>
      </c>
    </row>
    <row r="37" spans="1:8" ht="15.75" x14ac:dyDescent="0.25">
      <c r="A37" s="12">
        <v>10</v>
      </c>
      <c r="B37" s="35" t="s">
        <v>79</v>
      </c>
      <c r="C37" s="35" t="s">
        <v>99</v>
      </c>
      <c r="F37" s="12" t="s">
        <v>115</v>
      </c>
      <c r="G37" s="38" t="s">
        <v>129</v>
      </c>
      <c r="H37" s="12" t="s">
        <v>144</v>
      </c>
    </row>
    <row r="38" spans="1:8" ht="15.75" x14ac:dyDescent="0.25">
      <c r="A38" s="12">
        <v>11</v>
      </c>
      <c r="B38" s="35" t="s">
        <v>80</v>
      </c>
      <c r="C38" s="35" t="s">
        <v>100</v>
      </c>
      <c r="F38" s="12" t="s">
        <v>116</v>
      </c>
      <c r="G38" s="38" t="s">
        <v>130</v>
      </c>
      <c r="H38" s="12" t="s">
        <v>54</v>
      </c>
    </row>
    <row r="39" spans="1:8" ht="15.75" x14ac:dyDescent="0.25">
      <c r="A39" s="12">
        <v>12</v>
      </c>
      <c r="B39" s="35" t="s">
        <v>81</v>
      </c>
      <c r="C39" s="35" t="s">
        <v>101</v>
      </c>
      <c r="F39" s="12" t="s">
        <v>117</v>
      </c>
      <c r="G39" s="38" t="s">
        <v>131</v>
      </c>
      <c r="H39" s="12" t="s">
        <v>145</v>
      </c>
    </row>
    <row r="40" spans="1:8" ht="15.75" x14ac:dyDescent="0.25">
      <c r="A40" s="12">
        <v>13</v>
      </c>
      <c r="B40" s="35" t="s">
        <v>82</v>
      </c>
      <c r="C40" s="35" t="s">
        <v>102</v>
      </c>
      <c r="F40" s="12" t="s">
        <v>118</v>
      </c>
      <c r="G40" s="38" t="s">
        <v>132</v>
      </c>
      <c r="H40" s="12" t="s">
        <v>146</v>
      </c>
    </row>
    <row r="41" spans="1:8" ht="15.75" x14ac:dyDescent="0.25">
      <c r="A41" s="12">
        <v>14</v>
      </c>
      <c r="B41" s="35" t="s">
        <v>83</v>
      </c>
      <c r="C41" s="35" t="s">
        <v>103</v>
      </c>
      <c r="F41" s="12" t="s">
        <v>50</v>
      </c>
      <c r="G41" s="38" t="s">
        <v>133</v>
      </c>
      <c r="H41" s="12" t="s">
        <v>147</v>
      </c>
    </row>
    <row r="42" spans="1:8" ht="15.75" x14ac:dyDescent="0.25">
      <c r="A42" s="12">
        <v>15</v>
      </c>
      <c r="B42" s="35" t="s">
        <v>84</v>
      </c>
      <c r="C42" s="35" t="s">
        <v>104</v>
      </c>
      <c r="F42" s="12" t="s">
        <v>50</v>
      </c>
      <c r="G42" s="12" t="s">
        <v>134</v>
      </c>
      <c r="H42" s="12" t="s">
        <v>143</v>
      </c>
    </row>
    <row r="43" spans="1:8" ht="15.75" x14ac:dyDescent="0.25">
      <c r="A43" s="12">
        <v>16</v>
      </c>
      <c r="B43" s="35" t="s">
        <v>85</v>
      </c>
      <c r="C43" s="35" t="s">
        <v>105</v>
      </c>
      <c r="F43" s="12" t="s">
        <v>53</v>
      </c>
      <c r="G43" s="38" t="s">
        <v>135</v>
      </c>
      <c r="H43" s="12" t="s">
        <v>148</v>
      </c>
    </row>
    <row r="44" spans="1:8" ht="15.75" x14ac:dyDescent="0.25">
      <c r="A44" s="12">
        <v>17</v>
      </c>
      <c r="B44" s="35" t="s">
        <v>86</v>
      </c>
      <c r="C44" s="35" t="s">
        <v>106</v>
      </c>
      <c r="F44" s="12" t="s">
        <v>50</v>
      </c>
      <c r="G44" s="38" t="s">
        <v>136</v>
      </c>
      <c r="H44" s="12" t="s">
        <v>149</v>
      </c>
    </row>
    <row r="45" spans="1:8" ht="15.75" x14ac:dyDescent="0.25">
      <c r="A45" s="12">
        <v>18</v>
      </c>
      <c r="B45" s="35" t="s">
        <v>87</v>
      </c>
      <c r="C45" s="35" t="s">
        <v>107</v>
      </c>
      <c r="F45" s="12" t="s">
        <v>50</v>
      </c>
      <c r="G45" s="38" t="s">
        <v>137</v>
      </c>
      <c r="H45" s="12" t="s">
        <v>150</v>
      </c>
    </row>
    <row r="46" spans="1:8" ht="15.75" x14ac:dyDescent="0.25">
      <c r="A46" s="12">
        <v>19</v>
      </c>
      <c r="B46" s="35" t="s">
        <v>88</v>
      </c>
      <c r="C46" s="35" t="s">
        <v>108</v>
      </c>
      <c r="F46" s="12" t="s">
        <v>51</v>
      </c>
      <c r="G46" s="38" t="s">
        <v>138</v>
      </c>
      <c r="H46" s="12" t="s">
        <v>151</v>
      </c>
    </row>
    <row r="47" spans="1:8" ht="14.45" customHeight="1" x14ac:dyDescent="0.25">
      <c r="A47" s="12">
        <v>20</v>
      </c>
      <c r="B47" s="35" t="s">
        <v>89</v>
      </c>
      <c r="C47" s="35" t="s">
        <v>109</v>
      </c>
      <c r="F47" s="12" t="s">
        <v>53</v>
      </c>
      <c r="G47" s="38" t="s">
        <v>139</v>
      </c>
      <c r="H47" s="12" t="s">
        <v>152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opLeftCell="A6" zoomScaleNormal="100" workbookViewId="0">
      <selection activeCell="G6" sqref="G6"/>
    </sheetView>
  </sheetViews>
  <sheetFormatPr defaultColWidth="8.85546875" defaultRowHeight="15.75" x14ac:dyDescent="0.2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 x14ac:dyDescent="0.25">
      <c r="B1" s="22" t="s">
        <v>32</v>
      </c>
      <c r="C1" s="31" t="str">
        <f>+"http://10.11.62.82:28080/IRIS/api/v1.0.0/party/"&amp;Spec!$C$1</f>
        <v>http://10.11.62.82:28080/IRIS/api/v1.0.0/party/ED0015</v>
      </c>
      <c r="D1" s="22"/>
      <c r="E1" s="21"/>
    </row>
    <row r="2" spans="1:5" x14ac:dyDescent="0.25">
      <c r="A2" s="21"/>
      <c r="B2" s="21" t="s">
        <v>33</v>
      </c>
      <c r="C2" s="31" t="str">
        <f>+"http://10.11.62.82:58080/IRIS/api/v1.0.0/party/"&amp;Spec!$C$1</f>
        <v>http://10.11.62.82:58080/IRIS/api/v1.0.0/party/ED0015</v>
      </c>
      <c r="D2" s="12"/>
      <c r="E2" s="21"/>
    </row>
    <row r="3" spans="1:5" x14ac:dyDescent="0.25">
      <c r="A3" s="24"/>
      <c r="B3" s="25" t="s">
        <v>27</v>
      </c>
      <c r="C3" s="26" t="s">
        <v>28</v>
      </c>
      <c r="D3" s="26" t="s">
        <v>29</v>
      </c>
      <c r="E3" s="27" t="s">
        <v>18</v>
      </c>
    </row>
    <row r="4" spans="1:5" ht="409.5" x14ac:dyDescent="0.25">
      <c r="A4" s="24"/>
      <c r="B4" s="28" t="s">
        <v>30</v>
      </c>
      <c r="C4" s="28"/>
      <c r="D4" s="30" t="s">
        <v>153</v>
      </c>
      <c r="E4" s="29" t="s">
        <v>154</v>
      </c>
    </row>
    <row r="5" spans="1:5" ht="409.5" x14ac:dyDescent="0.25">
      <c r="B5" s="28" t="s">
        <v>30</v>
      </c>
      <c r="C5" s="28"/>
      <c r="D5" s="30" t="s">
        <v>166</v>
      </c>
      <c r="E5" s="29" t="s">
        <v>167</v>
      </c>
    </row>
    <row r="6" spans="1:5" ht="285" x14ac:dyDescent="0.25">
      <c r="B6" s="28" t="s">
        <v>30</v>
      </c>
      <c r="C6" s="39"/>
      <c r="D6" s="30" t="s">
        <v>168</v>
      </c>
      <c r="E6" s="29" t="s">
        <v>169</v>
      </c>
    </row>
    <row r="7" spans="1:5" x14ac:dyDescent="0.25">
      <c r="D7" s="40"/>
    </row>
    <row r="8" spans="1:5" x14ac:dyDescent="0.25">
      <c r="D8" s="40"/>
    </row>
    <row r="9" spans="1:5" x14ac:dyDescent="0.25">
      <c r="D9" s="40"/>
    </row>
    <row r="10" spans="1:5" x14ac:dyDescent="0.25">
      <c r="D10" s="4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923C-95A5-44F6-BCC1-6F9FBFEF8573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D032A5-84F9-4CF9-9D1A-60B36AF41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林瑋倫-業務系統分析部-銀行</cp:lastModifiedBy>
  <cp:revision/>
  <dcterms:created xsi:type="dcterms:W3CDTF">2020-03-13T10:54:50Z</dcterms:created>
  <dcterms:modified xsi:type="dcterms:W3CDTF">2022-10-03T02:28:30Z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