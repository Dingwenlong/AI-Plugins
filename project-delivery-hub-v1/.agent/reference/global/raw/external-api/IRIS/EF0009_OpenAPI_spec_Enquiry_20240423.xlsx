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113257\Desktop\"/>
    </mc:Choice>
  </mc:AlternateContent>
  <xr:revisionPtr revIDLastSave="0" documentId="13_ncr:1_{99986BB4-D17B-4D8A-9EA8-8254E0AB50ED}" xr6:coauthVersionLast="36" xr6:coauthVersionMax="47" xr10:uidLastSave="{00000000-0000-0000-0000-000000000000}"/>
  <bookViews>
    <workbookView xWindow="-23148" yWindow="804" windowWidth="23256" windowHeight="12576" firstSheet="1" activeTab="1" xr2:uid="{00000000-000D-0000-FFFF-FFFF00000000}"/>
  </bookViews>
  <sheets>
    <sheet name="Document History" sheetId="1" r:id="rId1"/>
    <sheet name="Spec" sheetId="2" r:id="rId2"/>
    <sheet name="JSON Request-Response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" l="1"/>
  <c r="C3" i="2"/>
  <c r="C2" i="3"/>
  <c r="C1" i="3"/>
</calcChain>
</file>

<file path=xl/sharedStrings.xml><?xml version="1.0" encoding="utf-8"?>
<sst xmlns="http://schemas.openxmlformats.org/spreadsheetml/2006/main" count="191" uniqueCount="146">
  <si>
    <t xml:space="preserve">Notice：
</t>
    <phoneticPr fontId="3" type="noConversion"/>
  </si>
  <si>
    <t>Document History</t>
    <phoneticPr fontId="3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</si>
  <si>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</si>
  <si>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</si>
  <si>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</si>
  <si>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</si>
  <si>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</si>
  <si>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</si>
  <si>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</si>
  <si>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陳東隆</t>
    <phoneticPr fontId="3" type="noConversion"/>
  </si>
  <si>
    <t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</si>
  <si>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</si>
  <si>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t>EF0009</t>
    <phoneticPr fontId="3" type="noConversion"/>
  </si>
  <si>
    <t>Description</t>
    <phoneticPr fontId="3" type="noConversion"/>
  </si>
  <si>
    <t>匯入匯款資料查詢</t>
    <phoneticPr fontId="3" type="noConversion"/>
  </si>
  <si>
    <t>URL</t>
  </si>
  <si>
    <t>Header</t>
    <phoneticPr fontId="3" type="noConversion"/>
  </si>
  <si>
    <r>
      <t xml:space="preserve">page_size: </t>
    </r>
    <r>
      <rPr>
        <sz val="11"/>
        <color theme="1"/>
        <rFont val="微軟正黑體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微軟正黑體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page_token: </t>
    </r>
    <r>
      <rPr>
        <sz val="11"/>
        <color theme="1"/>
        <rFont val="微軟正黑體"/>
        <family val="2"/>
        <charset val="136"/>
      </rPr>
      <t xml:space="preserve">查詢回饋的ID，以unique id + ',' + page_size 組成，查詢相同條件切不同頁面時，可配合回傳page_token + page_start
</t>
    </r>
    <r>
      <rPr>
        <sz val="11"/>
        <color theme="1"/>
        <rFont val="Calibri"/>
        <family val="2"/>
      </rPr>
      <t xml:space="preserve">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密碼</t>
    </r>
    <phoneticPr fontId="3" type="noConversion"/>
  </si>
  <si>
    <t>METHOD (GET/POST/PUT/DELETE)</t>
    <phoneticPr fontId="3" type="noConversion"/>
  </si>
  <si>
    <t>GET</t>
  </si>
  <si>
    <t>ENQ / TXN / AAA</t>
    <phoneticPr fontId="3" type="noConversion"/>
  </si>
  <si>
    <t>ENQ</t>
  </si>
  <si>
    <t>Original ENQUIRY ID</t>
    <phoneticPr fontId="3" type="noConversion"/>
  </si>
  <si>
    <t>TMB.IN.RMT.DETS.ENQ</t>
    <phoneticPr fontId="3" type="noConversion"/>
  </si>
  <si>
    <t>ENQUIRY ID</t>
    <phoneticPr fontId="3" type="noConversion"/>
  </si>
  <si>
    <t>SELECTION</t>
  </si>
  <si>
    <t>API_Vocabulary</t>
    <phoneticPr fontId="3" type="noConversion"/>
  </si>
  <si>
    <t>OPERAND</t>
  </si>
  <si>
    <r>
      <t>Mandatory (</t>
    </r>
    <r>
      <rPr>
        <b/>
        <sz val="11"/>
        <color theme="1"/>
        <rFont val="微軟正黑體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</si>
  <si>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t>ENQ.AFT.STS</t>
  </si>
  <si>
    <t>EnqAftSts</t>
  </si>
  <si>
    <t>EQ</t>
  </si>
  <si>
    <t>ENQ.T.MNEMONIC</t>
  </si>
  <si>
    <t>EnqTMnemonic</t>
  </si>
  <si>
    <t>ENQ.ADVIS.DATE</t>
  </si>
  <si>
    <t>EnqAdvisDate</t>
  </si>
  <si>
    <t>RG</t>
  </si>
  <si>
    <t>ENQ.CO.CODE</t>
  </si>
  <si>
    <t>EnqCoCode</t>
  </si>
  <si>
    <t>ENQ.FX.TXN.REF</t>
  </si>
  <si>
    <t>EnqFxTxnRef</t>
  </si>
  <si>
    <t>No</t>
  </si>
  <si>
    <t>Field name</t>
  </si>
  <si>
    <t>API Vocabulary</t>
    <phoneticPr fontId="3" type="noConversion"/>
  </si>
  <si>
    <t>COMMENTS</t>
    <phoneticPr fontId="3" type="noConversion"/>
  </si>
  <si>
    <t>Single Multi</t>
  </si>
  <si>
    <t>Length</t>
  </si>
  <si>
    <t>Field Description</t>
    <phoneticPr fontId="3" type="noConversion"/>
  </si>
  <si>
    <t>欄位名稱</t>
    <phoneticPr fontId="3" type="noConversion"/>
  </si>
  <si>
    <t>對應API Vocabulary</t>
    <phoneticPr fontId="3" type="noConversion"/>
  </si>
  <si>
    <t>分組 Group name</t>
    <phoneticPr fontId="3" type="noConversion"/>
  </si>
  <si>
    <t>Single(空白)，Multi(XX&lt;,XX-,XX&gt;)</t>
    <phoneticPr fontId="3" type="noConversion"/>
  </si>
  <si>
    <t>欄位長度+(靠左L,靠右R)</t>
    <phoneticPr fontId="3" type="noConversion"/>
  </si>
  <si>
    <t>欄位說明(中文)</t>
    <phoneticPr fontId="3" type="noConversion"/>
  </si>
  <si>
    <t>欄位說明(英文)</t>
    <phoneticPr fontId="3" type="noConversion"/>
  </si>
  <si>
    <t>ENQ.O.ADVIS.FTID</t>
  </si>
  <si>
    <t>EnqOAdvisFtid</t>
  </si>
  <si>
    <t>25L</t>
    <phoneticPr fontId="3" type="noConversion"/>
  </si>
  <si>
    <r>
      <rPr>
        <sz val="10"/>
        <color theme="1"/>
        <rFont val="微軟正黑體"/>
        <family val="2"/>
        <charset val="136"/>
      </rPr>
      <t>通知交易編號</t>
    </r>
    <phoneticPr fontId="3" type="noConversion"/>
  </si>
  <si>
    <t>ENQ.O.FX.TXN.REF</t>
  </si>
  <si>
    <t>EnqOFxTxnRef</t>
  </si>
  <si>
    <t>16L</t>
    <phoneticPr fontId="3" type="noConversion"/>
  </si>
  <si>
    <r>
      <rPr>
        <sz val="10"/>
        <color theme="1"/>
        <rFont val="細明體"/>
        <family val="2"/>
        <charset val="136"/>
      </rPr>
      <t>交易參考編號</t>
    </r>
    <phoneticPr fontId="3" type="noConversion"/>
  </si>
  <si>
    <t>Inward Reference No.</t>
    <phoneticPr fontId="3" type="noConversion"/>
  </si>
  <si>
    <t>ENQ.O.REMIT.CURR</t>
  </si>
  <si>
    <t>EnqORemitCurr</t>
  </si>
  <si>
    <t>3L</t>
    <phoneticPr fontId="3" type="noConversion"/>
  </si>
  <si>
    <r>
      <rPr>
        <sz val="10"/>
        <color theme="1"/>
        <rFont val="微軟正黑體"/>
        <family val="2"/>
        <charset val="136"/>
      </rPr>
      <t>匯款幣別</t>
    </r>
    <phoneticPr fontId="3" type="noConversion"/>
  </si>
  <si>
    <t>Remit Currency</t>
    <phoneticPr fontId="3" type="noConversion"/>
  </si>
  <si>
    <t>ENQ.O.REMIT.AMT</t>
  </si>
  <si>
    <t>EnqORemitAmt</t>
  </si>
  <si>
    <t>20L</t>
    <phoneticPr fontId="3" type="noConversion"/>
  </si>
  <si>
    <t>匯款金額</t>
    <phoneticPr fontId="3" type="noConversion"/>
  </si>
  <si>
    <t>Remit Amount</t>
    <phoneticPr fontId="3" type="noConversion"/>
  </si>
  <si>
    <t>ENQ.O.ORD.CUST</t>
  </si>
  <si>
    <t>EnqOOrdCust</t>
  </si>
  <si>
    <t>35L</t>
    <phoneticPr fontId="3" type="noConversion"/>
  </si>
  <si>
    <t>匯款人</t>
    <phoneticPr fontId="3" type="noConversion"/>
  </si>
  <si>
    <t>Ordering Customer</t>
    <phoneticPr fontId="3" type="noConversion"/>
  </si>
  <si>
    <t>ENQ.O.TXN.TYPE</t>
  </si>
  <si>
    <t>EnqOTxnType</t>
  </si>
  <si>
    <t>4L</t>
    <phoneticPr fontId="3" type="noConversion"/>
  </si>
  <si>
    <r>
      <rPr>
        <sz val="10"/>
        <color theme="1"/>
        <rFont val="微軟正黑體"/>
        <family val="2"/>
        <charset val="136"/>
      </rPr>
      <t>交易類型</t>
    </r>
    <r>
      <rPr>
        <sz val="10"/>
        <color theme="1"/>
        <rFont val="Calibri"/>
        <family val="2"/>
      </rPr>
      <t>/</t>
    </r>
    <r>
      <rPr>
        <sz val="10"/>
        <color theme="1"/>
        <rFont val="微軟正黑體"/>
        <family val="2"/>
        <charset val="136"/>
      </rPr>
      <t>匯款來源</t>
    </r>
    <phoneticPr fontId="3" type="noConversion"/>
  </si>
  <si>
    <t>Transaction Type</t>
    <phoneticPr fontId="3" type="noConversion"/>
  </si>
  <si>
    <t>ENQ.O.DR.VAL.DT</t>
  </si>
  <si>
    <t>EnqODrValDt</t>
  </si>
  <si>
    <t>8L</t>
    <phoneticPr fontId="3" type="noConversion"/>
  </si>
  <si>
    <t>存同生效日</t>
    <phoneticPr fontId="3" type="noConversion"/>
  </si>
  <si>
    <t>Value Date</t>
    <phoneticPr fontId="3" type="noConversion"/>
  </si>
  <si>
    <t>ENQ.O.BEN.ACCT.NO</t>
  </si>
  <si>
    <t>EnqOBenAcctNo</t>
  </si>
  <si>
    <r>
      <t>CIF</t>
    </r>
    <r>
      <rPr>
        <sz val="10"/>
        <color theme="1"/>
        <rFont val="微軟正黑體"/>
        <family val="2"/>
        <charset val="136"/>
      </rPr>
      <t>帳號</t>
    </r>
    <r>
      <rPr>
        <sz val="10"/>
        <color theme="1"/>
        <rFont val="Calibri"/>
        <family val="2"/>
      </rPr>
      <t>(</t>
    </r>
    <r>
      <rPr>
        <sz val="10"/>
        <color theme="1"/>
        <rFont val="微軟正黑體"/>
        <family val="2"/>
        <charset val="136"/>
      </rPr>
      <t>轉檔帳號</t>
    </r>
    <r>
      <rPr>
        <sz val="10"/>
        <color theme="1"/>
        <rFont val="Calibri"/>
        <family val="2"/>
      </rPr>
      <t>)</t>
    </r>
    <phoneticPr fontId="3" type="noConversion"/>
  </si>
  <si>
    <t>Beneficiary Account No.</t>
    <phoneticPr fontId="3" type="noConversion"/>
  </si>
  <si>
    <t>ENQ.O.CO.CODE</t>
  </si>
  <si>
    <t>EnqOCoCode</t>
  </si>
  <si>
    <t>11L</t>
    <phoneticPr fontId="3" type="noConversion"/>
  </si>
  <si>
    <t>掛帳行</t>
    <phoneticPr fontId="3" type="noConversion"/>
  </si>
  <si>
    <t>Booking Branch</t>
    <phoneticPr fontId="3" type="noConversion"/>
  </si>
  <si>
    <t>ENQ.O.CHK.FINAL</t>
  </si>
  <si>
    <t>EnqOChkFinal</t>
  </si>
  <si>
    <t>1L</t>
    <phoneticPr fontId="3" type="noConversion"/>
  </si>
  <si>
    <t>最終比對結果</t>
    <phoneticPr fontId="3" type="noConversion"/>
  </si>
  <si>
    <t>Check Result</t>
    <phoneticPr fontId="3" type="noConversion"/>
  </si>
  <si>
    <t>ENQ.O.CNTRY</t>
  </si>
  <si>
    <t>EnqOCntry</t>
  </si>
  <si>
    <t>2L</t>
    <phoneticPr fontId="3" type="noConversion"/>
  </si>
  <si>
    <t>匯款國別</t>
    <phoneticPr fontId="3" type="noConversion"/>
  </si>
  <si>
    <t>Country</t>
    <phoneticPr fontId="3" type="noConversion"/>
  </si>
  <si>
    <t>ENQ.O.ADVIS.DATE</t>
  </si>
  <si>
    <t>EnqOAdvisDate</t>
  </si>
  <si>
    <t>通知日期</t>
    <phoneticPr fontId="3" type="noConversion"/>
  </si>
  <si>
    <t>Advising Date</t>
    <phoneticPr fontId="3" type="noConversion"/>
  </si>
  <si>
    <t>ENQ.O.RETN.DATE</t>
  </si>
  <si>
    <t>EnqORetnDate</t>
  </si>
  <si>
    <t>退匯日期</t>
    <phoneticPr fontId="3" type="noConversion"/>
  </si>
  <si>
    <t>Refund Date</t>
    <phoneticPr fontId="3" type="noConversion"/>
  </si>
  <si>
    <t>ENQ.O.ORD.BANK</t>
  </si>
  <si>
    <t>EnqOOrdBank</t>
  </si>
  <si>
    <t>匯款銀行</t>
    <phoneticPr fontId="3" type="noConversion"/>
  </si>
  <si>
    <t>Ordering Bank</t>
  </si>
  <si>
    <t>ENQ.O.BEN.OUR.CHARGE</t>
  </si>
  <si>
    <t>EnqOBenOurCharge</t>
  </si>
  <si>
    <t>5L</t>
    <phoneticPr fontId="3" type="noConversion"/>
  </si>
  <si>
    <t>清算行負擔對象</t>
    <phoneticPr fontId="3" type="noConversion"/>
  </si>
  <si>
    <t>ENQ.O.ADVIS.BR</t>
  </si>
  <si>
    <t>EnqOAdvisBr</t>
  </si>
  <si>
    <t>通知行</t>
    <phoneticPr fontId="3" type="noConversion"/>
  </si>
  <si>
    <t>Advising Branch</t>
    <phoneticPr fontId="3" type="noConversion"/>
  </si>
  <si>
    <t>ENQ.O.SENDER.BIC</t>
  </si>
  <si>
    <t>EnqOSenderBic</t>
  </si>
  <si>
    <t>發電行</t>
    <phoneticPr fontId="3" type="noConversion"/>
  </si>
  <si>
    <t>Sender's BIC</t>
    <phoneticPr fontId="3" type="noConversion"/>
  </si>
  <si>
    <t>ENQ.O.AC.KPIBR</t>
    <phoneticPr fontId="3" type="noConversion"/>
  </si>
  <si>
    <t>EnqOAcKpibr</t>
  </si>
  <si>
    <t>6L</t>
    <phoneticPr fontId="3" type="noConversion"/>
  </si>
  <si>
    <t>帳戶績效行</t>
    <phoneticPr fontId="3" type="noConversion"/>
  </si>
  <si>
    <t>Account KPI Branch</t>
    <phoneticPr fontId="3" type="noConversion"/>
  </si>
  <si>
    <t>NETBANK</t>
    <phoneticPr fontId="3" type="noConversion"/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</si>
  <si>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</si>
  <si>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</si>
  <si>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</si>
  <si>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</si>
  <si>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Response json</t>
  </si>
  <si>
    <t>GET</t>
    <phoneticPr fontId="3" type="noConversion"/>
  </si>
  <si>
    <t>EnqAdvisDate:20231013 20231018
EnqFxTxnRef: 3NBAHIR00045</t>
    <phoneticPr fontId="3" type="noConversion"/>
  </si>
  <si>
    <t>{
  "header": {
    "audit": {
      "T24_time": 164,
      "parse_time": 0
    },
    "page_start": 1,
    "page_token": "1811551799.01,99",
    "total_size": 1,
    "page_size": 99,
    "status": "success"
  },
  "body": [
    {
      "EnqOBenAcctNo": "00600400600123",
      "EnqODrValDt": "20231011",
      "EnqOAdvisFtid": "FT23286S7MRW",
      "EnqORemitAmt": "4000000.00",
      "EnqOAdvisBr": "TW8070006",
      "EnqORemitCurr": "USD",
      "EnqOOrdBank": "CITIUS33",
      "EnqOCntry": "US",
      "EnqOFxTxnRef": "3NBAHIR00045",
      "EnqOBenOurCharge": "OUR",
      "EnqOCoCode": "TW8070014",
      "EnqOAcKpibr": "BR0006",
      "EnqOTxnType": "IT",
      "EnqOOrdCust": "REMITTER",
      "EnqOAdvisDate": "20231013",
      "EnqOChkFinal": "C",
      "EnqOSenderBic": "CITIUS33"
    }
  ]
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</si>
</sst>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0"/>
      <color rgb="FF0000D4"/>
      <name val="細明體"/>
      <family val="2"/>
      <charset val="136"/>
    </font>
    <font>
      <sz val="11"/>
      <name val="微軟正黑體"/>
      <family val="2"/>
      <charset val="136"/>
    </font>
    <font>
      <sz val="10"/>
      <color theme="1"/>
      <name val="Calibri"/>
      <family val="2"/>
    </font>
    <font>
      <sz val="10"/>
      <color theme="1"/>
      <name val="細明體"/>
      <family val="2"/>
      <charset val="136"/>
    </font>
    <font>
      <sz val="10"/>
      <color theme="1"/>
      <name val="Calibri"/>
      <family val="2"/>
      <charset val="136"/>
    </font>
    <font>
      <sz val="10"/>
      <color theme="1"/>
      <name val="微軟正黑體"/>
      <family val="2"/>
      <charset val="136"/>
    </font>
    <font>
      <sz val="11"/>
      <color rgb="FFFF0000"/>
      <name val="Calibri"/>
      <family val="2"/>
    </font>
    <font>
      <sz val="11"/>
      <color rgb="FFFF0000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6" borderId="6" xfId="1" applyFont="1" applyFill="1" applyBorder="1" applyAlignment="1">
      <alignment vertical="center" wrapText="1"/>
    </xf>
    <xf numFmtId="0" fontId="10" fillId="0" borderId="6" xfId="0" applyFont="1" applyBorder="1"/>
    <xf numFmtId="0" fontId="10" fillId="0" borderId="0" xfId="0" applyFont="1"/>
    <xf numFmtId="0" fontId="10" fillId="0" borderId="6" xfId="0" applyFont="1" applyBorder="1" applyAlignment="1">
      <alignment wrapText="1"/>
    </xf>
    <xf numFmtId="0" fontId="11" fillId="6" borderId="6" xfId="1" applyFont="1" applyFill="1" applyBorder="1" applyAlignment="1">
      <alignment horizontal="left" vertical="top" wrapText="1"/>
    </xf>
    <xf numFmtId="0" fontId="12" fillId="6" borderId="6" xfId="0" applyFont="1" applyFill="1" applyBorder="1"/>
    <xf numFmtId="0" fontId="13" fillId="0" borderId="0" xfId="1" applyFont="1" applyAlignment="1">
      <alignment horizontal="left" vertical="top" wrapText="1"/>
    </xf>
    <xf numFmtId="0" fontId="13" fillId="0" borderId="0" xfId="1" applyFont="1" applyAlignment="1">
      <alignment horizontal="left" vertical="top"/>
    </xf>
    <xf numFmtId="0" fontId="11" fillId="4" borderId="6" xfId="0" applyFont="1" applyFill="1" applyBorder="1" applyAlignment="1">
      <alignment horizontal="left"/>
    </xf>
    <xf numFmtId="0" fontId="11" fillId="4" borderId="6" xfId="4" applyFont="1" applyFill="1" applyBorder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10" fillId="0" borderId="0" xfId="0" applyFont="1" applyAlignment="1">
      <alignment vertical="top"/>
    </xf>
    <xf numFmtId="0" fontId="12" fillId="5" borderId="8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0" fillId="0" borderId="10" xfId="0" applyFont="1" applyBorder="1" applyAlignment="1">
      <alignment vertical="top" wrapText="1"/>
    </xf>
    <xf numFmtId="0" fontId="13" fillId="0" borderId="6" xfId="5" applyFont="1" applyBorder="1" applyAlignment="1">
      <alignment horizontal="left" vertical="top" wrapText="1"/>
    </xf>
    <xf numFmtId="0" fontId="9" fillId="0" borderId="0" xfId="5"/>
    <xf numFmtId="0" fontId="17" fillId="0" borderId="5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left"/>
    </xf>
    <xf numFmtId="0" fontId="14" fillId="0" borderId="6" xfId="0" applyFont="1" applyBorder="1"/>
    <xf numFmtId="0" fontId="19" fillId="0" borderId="0" xfId="0" applyFont="1" applyAlignment="1">
      <alignment vertical="center"/>
    </xf>
    <xf numFmtId="0" fontId="19" fillId="0" borderId="6" xfId="0" applyFont="1" applyBorder="1" applyAlignment="1">
      <alignment vertical="center"/>
    </xf>
    <xf numFmtId="0" fontId="22" fillId="0" borderId="0" xfId="0" applyFont="1"/>
    <xf numFmtId="0" fontId="19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19" fillId="0" borderId="0" xfId="0" applyFont="1"/>
    <xf numFmtId="0" fontId="21" fillId="0" borderId="0" xfId="0" applyFont="1" applyAlignment="1">
      <alignment horizontal="left"/>
    </xf>
    <xf numFmtId="0" fontId="14" fillId="0" borderId="0" xfId="0" applyFont="1"/>
    <xf numFmtId="0" fontId="23" fillId="0" borderId="0" xfId="0" applyFont="1"/>
    <xf numFmtId="0" fontId="23" fillId="0" borderId="0" xfId="0" applyFont="1" applyAlignment="1">
      <alignment horizontal="left"/>
    </xf>
    <xf numFmtId="0" fontId="2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D4" sqref="D4"/>
    </sheetView>
  </sheetViews>
  <sheetFormatPr defaultColWidth="9.140625" defaultRowHeight="15.7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46" t="s">
        <v>0</v>
      </c>
      <c r="B1" s="47"/>
      <c r="C1" s="47"/>
      <c r="D1" s="47"/>
      <c r="E1" s="47"/>
    </row>
    <row r="2" spans="1:5" ht="20.100000000000001" customHeight="1" thickBot="1">
      <c r="A2" s="45" t="s">
        <v>1</v>
      </c>
      <c r="B2" s="48"/>
      <c r="C2" s="48"/>
      <c r="D2" s="48"/>
      <c r="E2" s="49"/>
    </row>
    <row r="3" spans="1:5" ht="16.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6.5" thickBot="1">
      <c r="A4" s="3" t="s">
        <v>7</v>
      </c>
      <c r="B4" s="6">
        <v>45204</v>
      </c>
      <c r="C4" s="5" t="s">
        <v>8</v>
      </c>
      <c r="D4" s="31" t="s">
        <v>9</v>
      </c>
      <c r="E4" s="4" t="s">
        <v>10</v>
      </c>
    </row>
    <row r="5" spans="1:5" ht="16.5" thickBot="1">
      <c r="A5" s="3"/>
      <c r="B5" s="6"/>
      <c r="C5" s="5"/>
      <c r="D5" s="3"/>
      <c r="E5" s="4"/>
    </row>
    <row r="6" spans="1:5" ht="16.5" thickBot="1">
      <c r="A6" s="3"/>
      <c r="B6" s="6"/>
      <c r="C6" s="5"/>
      <c r="D6" s="3"/>
      <c r="E6" s="4"/>
    </row>
    <row r="7" spans="1:5" ht="16.5" thickBot="1">
      <c r="A7" s="3"/>
      <c r="B7" s="6"/>
      <c r="C7" s="5"/>
      <c r="D7" s="3"/>
      <c r="E7" s="4"/>
    </row>
    <row r="8" spans="1:5" ht="16.5" thickBot="1">
      <c r="A8" s="4"/>
      <c r="B8" s="7"/>
      <c r="C8" s="8"/>
      <c r="D8" s="4"/>
      <c r="E8" s="4"/>
    </row>
    <row r="9" spans="1:5" ht="16.5" thickBot="1">
      <c r="A9" s="4"/>
      <c r="B9" s="7"/>
      <c r="C9" s="8"/>
      <c r="D9" s="4"/>
      <c r="E9" s="4"/>
    </row>
    <row r="10" spans="1:5" ht="16.5" thickBot="1">
      <c r="A10" s="4"/>
      <c r="B10" s="7"/>
      <c r="C10" s="8"/>
      <c r="D10" s="4"/>
      <c r="E10" s="4"/>
    </row>
    <row r="11" spans="1:5" ht="16.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6.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6.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6.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6.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6.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6.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H38"/>
  <sheetViews>
    <sheetView tabSelected="1" topLeftCell="A12" zoomScale="85" zoomScaleNormal="85" workbookViewId="0" xr3:uid="{958C4451-9541-5A59-BF78-D2F731DF1C81}">
      <selection activeCell="C38" sqref="C38"/>
    </sheetView>
  </sheetViews>
  <sheetFormatPr defaultColWidth="8.85546875" defaultRowHeight="15"/>
  <cols>
    <col min="1" max="1" width="4.28515625" style="9" bestFit="1" customWidth="1"/>
    <col min="2" max="2" width="34.42578125" style="9" customWidth="1"/>
    <col min="3" max="3" width="72.85546875" style="12" bestFit="1" customWidth="1"/>
    <col min="4" max="4" width="18.5703125" style="12" bestFit="1" customWidth="1"/>
    <col min="5" max="5" width="34.140625" style="12" bestFit="1" customWidth="1"/>
    <col min="6" max="6" width="26.28515625" style="12" bestFit="1" customWidth="1"/>
    <col min="7" max="7" width="23.28515625" style="12" bestFit="1" customWidth="1"/>
    <col min="8" max="8" width="45.28515625" style="12" bestFit="1" customWidth="1"/>
    <col min="9" max="16384" width="8.85546875" style="12"/>
  </cols>
  <sheetData>
    <row r="1" spans="2:6">
      <c r="B1" s="10" t="s">
        <v>11</v>
      </c>
      <c r="C1" s="11" t="s">
        <v>12</v>
      </c>
    </row>
    <row r="2" spans="2:6">
      <c r="B2" s="10" t="s">
        <v>13</v>
      </c>
      <c r="C2" s="33" t="s">
        <v>14</v>
      </c>
    </row>
    <row r="3" spans="2:6">
      <c r="B3" s="10" t="s">
        <v>15</v>
      </c>
      <c r="C3" s="11" t="str">
        <f>+"/api/v1.0.0/party/"&amp;C1</f>
        <v>/api/v1.0.0/party/EF0009</v>
      </c>
    </row>
    <row r="4" spans="2:6" ht="90">
      <c r="B4" s="10" t="s">
        <v>16</v>
      </c>
      <c r="C4" s="13" t="s">
        <v>17</v>
      </c>
    </row>
    <row r="5" spans="2:6">
      <c r="B5" s="10" t="s">
        <v>18</v>
      </c>
      <c r="C5" s="11" t="s">
        <v>19</v>
      </c>
    </row>
    <row r="6" spans="2:6">
      <c r="B6" s="10" t="s">
        <v>20</v>
      </c>
      <c r="C6" s="11" t="s">
        <v>21</v>
      </c>
    </row>
    <row r="7" spans="2:6">
      <c r="B7" s="10" t="s">
        <v>22</v>
      </c>
      <c r="C7" s="11" t="s">
        <v>23</v>
      </c>
    </row>
    <row r="8" spans="2:6">
      <c r="B8" s="10" t="s">
        <v>24</v>
      </c>
      <c r="C8" s="11" t="str">
        <f>+"ENQ.API."&amp;$C$1&amp;".1.0.0"</f>
        <v>ENQ.API.EF0009.1.0.0</v>
      </c>
    </row>
    <row r="9" spans="2:6">
      <c r="B9" s="12"/>
    </row>
    <row r="10" spans="2:6">
      <c r="B10" s="12"/>
    </row>
    <row r="11" spans="2:6">
      <c r="B11" s="10" t="s">
        <v>25</v>
      </c>
      <c r="C11" s="14" t="s">
        <v>26</v>
      </c>
      <c r="D11" s="10" t="s">
        <v>27</v>
      </c>
      <c r="E11" s="15" t="s">
        <v>28</v>
      </c>
    </row>
    <row r="12" spans="2:6">
      <c r="B12" s="35" t="s">
        <v>29</v>
      </c>
      <c r="C12" s="35" t="s">
        <v>30</v>
      </c>
      <c r="D12" s="35" t="s">
        <v>31</v>
      </c>
      <c r="E12" s="11"/>
    </row>
    <row r="13" spans="2:6">
      <c r="B13" s="35" t="s">
        <v>32</v>
      </c>
      <c r="C13" s="35" t="s">
        <v>33</v>
      </c>
      <c r="D13" s="35" t="s">
        <v>31</v>
      </c>
      <c r="E13" s="11"/>
    </row>
    <row r="14" spans="2:6">
      <c r="B14" s="35" t="s">
        <v>34</v>
      </c>
      <c r="C14" s="35" t="s">
        <v>35</v>
      </c>
      <c r="D14" s="35" t="s">
        <v>36</v>
      </c>
      <c r="E14" s="11"/>
    </row>
    <row r="15" spans="2:6">
      <c r="B15" s="35" t="s">
        <v>37</v>
      </c>
      <c r="C15" s="35" t="s">
        <v>38</v>
      </c>
      <c r="D15" s="35" t="s">
        <v>31</v>
      </c>
      <c r="E15" s="11"/>
    </row>
    <row r="16" spans="2:6">
      <c r="B16" s="35" t="s">
        <v>39</v>
      </c>
      <c r="C16" s="35" t="s">
        <v>40</v>
      </c>
      <c r="D16" s="35" t="s">
        <v>31</v>
      </c>
      <c r="E16" s="11"/>
      <c r="F16" s="16"/>
    </row>
    <row r="17" spans="1:8" s="20" customFormat="1">
      <c r="A17" s="9"/>
      <c r="B17" s="12"/>
      <c r="C17" s="12"/>
      <c r="D17" s="16"/>
      <c r="E17" s="12"/>
      <c r="F17" s="12"/>
      <c r="G17" s="12"/>
      <c r="H17" s="12"/>
    </row>
    <row r="18" spans="1:8" s="20" customFormat="1">
      <c r="A18" s="17"/>
      <c r="B18" s="16"/>
      <c r="C18" s="17"/>
      <c r="D18" s="16"/>
      <c r="E18" s="16"/>
      <c r="F18" s="16"/>
      <c r="G18" s="12"/>
      <c r="H18" s="12"/>
    </row>
    <row r="19" spans="1:8">
      <c r="A19" s="18" t="s">
        <v>41</v>
      </c>
      <c r="B19" s="18" t="s">
        <v>42</v>
      </c>
      <c r="C19" s="18" t="s">
        <v>43</v>
      </c>
      <c r="D19" s="19" t="s">
        <v>44</v>
      </c>
      <c r="E19" s="18" t="s">
        <v>45</v>
      </c>
      <c r="F19" s="18" t="s">
        <v>46</v>
      </c>
      <c r="G19" s="18" t="s">
        <v>47</v>
      </c>
      <c r="H19" s="18" t="s">
        <v>47</v>
      </c>
    </row>
    <row r="20" spans="1:8">
      <c r="A20" s="32"/>
      <c r="B20" s="32" t="s">
        <v>48</v>
      </c>
      <c r="C20" s="32" t="s">
        <v>49</v>
      </c>
      <c r="D20" s="32" t="s">
        <v>50</v>
      </c>
      <c r="E20" s="32" t="s">
        <v>51</v>
      </c>
      <c r="F20" s="32" t="s">
        <v>52</v>
      </c>
      <c r="G20" s="32" t="s">
        <v>53</v>
      </c>
      <c r="H20" s="32" t="s">
        <v>54</v>
      </c>
    </row>
    <row r="21" spans="1:8">
      <c r="A21" s="12">
        <v>1</v>
      </c>
      <c r="B21" s="34" t="s">
        <v>55</v>
      </c>
      <c r="C21" s="34" t="s">
        <v>56</v>
      </c>
      <c r="F21" s="12" t="s">
        <v>57</v>
      </c>
      <c r="G21" s="37" t="s">
        <v>58</v>
      </c>
      <c r="H21" s="9"/>
    </row>
    <row r="22" spans="1:8">
      <c r="A22" s="12">
        <v>2</v>
      </c>
      <c r="B22" s="34" t="s">
        <v>59</v>
      </c>
      <c r="C22" s="34" t="s">
        <v>60</v>
      </c>
      <c r="F22" s="12" t="s">
        <v>61</v>
      </c>
      <c r="G22" s="37" t="s">
        <v>62</v>
      </c>
      <c r="H22" s="9" t="s">
        <v>63</v>
      </c>
    </row>
    <row r="23" spans="1:8">
      <c r="A23" s="12">
        <v>3</v>
      </c>
      <c r="B23" s="34" t="s">
        <v>64</v>
      </c>
      <c r="C23" s="34" t="s">
        <v>65</v>
      </c>
      <c r="F23" s="12" t="s">
        <v>66</v>
      </c>
      <c r="G23" s="37" t="s">
        <v>67</v>
      </c>
      <c r="H23" s="34" t="s">
        <v>68</v>
      </c>
    </row>
    <row r="24" spans="1:8">
      <c r="A24" s="12">
        <v>4</v>
      </c>
      <c r="B24" s="34" t="s">
        <v>69</v>
      </c>
      <c r="C24" s="34" t="s">
        <v>70</v>
      </c>
      <c r="F24" s="12" t="s">
        <v>71</v>
      </c>
      <c r="G24" s="38" t="s">
        <v>72</v>
      </c>
      <c r="H24" s="34" t="s">
        <v>73</v>
      </c>
    </row>
    <row r="25" spans="1:8">
      <c r="A25" s="12">
        <v>5</v>
      </c>
      <c r="B25" s="34" t="s">
        <v>74</v>
      </c>
      <c r="C25" s="34" t="s">
        <v>75</v>
      </c>
      <c r="F25" s="12" t="s">
        <v>76</v>
      </c>
      <c r="G25" s="38" t="s">
        <v>77</v>
      </c>
      <c r="H25" s="34" t="s">
        <v>78</v>
      </c>
    </row>
    <row r="26" spans="1:8">
      <c r="A26" s="12">
        <v>6</v>
      </c>
      <c r="B26" s="34" t="s">
        <v>79</v>
      </c>
      <c r="C26" s="34" t="s">
        <v>80</v>
      </c>
      <c r="F26" s="12" t="s">
        <v>81</v>
      </c>
      <c r="G26" s="40" t="s">
        <v>82</v>
      </c>
      <c r="H26" s="34" t="s">
        <v>83</v>
      </c>
    </row>
    <row r="27" spans="1:8">
      <c r="A27" s="12">
        <v>7</v>
      </c>
      <c r="B27" s="34" t="s">
        <v>84</v>
      </c>
      <c r="C27" s="34" t="s">
        <v>85</v>
      </c>
      <c r="F27" s="12" t="s">
        <v>86</v>
      </c>
      <c r="G27" s="36" t="s">
        <v>87</v>
      </c>
      <c r="H27" s="34" t="s">
        <v>88</v>
      </c>
    </row>
    <row r="28" spans="1:8">
      <c r="A28" s="12">
        <v>8</v>
      </c>
      <c r="B28" s="34" t="s">
        <v>89</v>
      </c>
      <c r="C28" s="34" t="s">
        <v>90</v>
      </c>
      <c r="F28" s="12" t="s">
        <v>61</v>
      </c>
      <c r="G28" s="39" t="s">
        <v>91</v>
      </c>
      <c r="H28" s="34" t="s">
        <v>92</v>
      </c>
    </row>
    <row r="29" spans="1:8">
      <c r="A29" s="12">
        <v>9</v>
      </c>
      <c r="B29" s="34" t="s">
        <v>93</v>
      </c>
      <c r="C29" s="34" t="s">
        <v>94</v>
      </c>
      <c r="F29" s="12" t="s">
        <v>95</v>
      </c>
      <c r="G29" s="36" t="s">
        <v>96</v>
      </c>
      <c r="H29" s="34" t="s">
        <v>97</v>
      </c>
    </row>
    <row r="30" spans="1:8">
      <c r="A30" s="12">
        <v>10</v>
      </c>
      <c r="B30" s="34" t="s">
        <v>98</v>
      </c>
      <c r="C30" s="34" t="s">
        <v>99</v>
      </c>
      <c r="F30" s="12" t="s">
        <v>100</v>
      </c>
      <c r="G30" s="36" t="s">
        <v>101</v>
      </c>
      <c r="H30" s="34" t="s">
        <v>102</v>
      </c>
    </row>
    <row r="31" spans="1:8">
      <c r="A31" s="12">
        <v>11</v>
      </c>
      <c r="B31" s="34" t="s">
        <v>103</v>
      </c>
      <c r="C31" s="34" t="s">
        <v>104</v>
      </c>
      <c r="F31" s="12" t="s">
        <v>105</v>
      </c>
      <c r="G31" s="36" t="s">
        <v>106</v>
      </c>
      <c r="H31" s="34" t="s">
        <v>107</v>
      </c>
    </row>
    <row r="32" spans="1:8">
      <c r="A32" s="12">
        <v>12</v>
      </c>
      <c r="B32" s="34" t="s">
        <v>108</v>
      </c>
      <c r="C32" s="34" t="s">
        <v>109</v>
      </c>
      <c r="F32" s="12" t="s">
        <v>86</v>
      </c>
      <c r="G32" s="36" t="s">
        <v>110</v>
      </c>
      <c r="H32" s="34" t="s">
        <v>111</v>
      </c>
    </row>
    <row r="33" spans="1:8">
      <c r="A33" s="12">
        <v>13</v>
      </c>
      <c r="B33" s="34" t="s">
        <v>112</v>
      </c>
      <c r="C33" s="34" t="s">
        <v>113</v>
      </c>
      <c r="F33" s="12" t="s">
        <v>86</v>
      </c>
      <c r="G33" s="36" t="s">
        <v>114</v>
      </c>
      <c r="H33" s="34" t="s">
        <v>115</v>
      </c>
    </row>
    <row r="34" spans="1:8">
      <c r="A34" s="12">
        <v>14</v>
      </c>
      <c r="B34" s="34" t="s">
        <v>116</v>
      </c>
      <c r="C34" s="34" t="s">
        <v>117</v>
      </c>
      <c r="F34" s="12" t="s">
        <v>76</v>
      </c>
      <c r="G34" s="36" t="s">
        <v>118</v>
      </c>
      <c r="H34" s="34" t="s">
        <v>119</v>
      </c>
    </row>
    <row r="35" spans="1:8">
      <c r="A35" s="12">
        <v>15</v>
      </c>
      <c r="B35" s="34" t="s">
        <v>120</v>
      </c>
      <c r="C35" s="34" t="s">
        <v>121</v>
      </c>
      <c r="F35" s="12" t="s">
        <v>122</v>
      </c>
      <c r="G35" s="36" t="s">
        <v>123</v>
      </c>
      <c r="H35" s="34"/>
    </row>
    <row r="36" spans="1:8">
      <c r="A36" s="12">
        <v>16</v>
      </c>
      <c r="B36" s="34" t="s">
        <v>124</v>
      </c>
      <c r="C36" s="34" t="s">
        <v>125</v>
      </c>
      <c r="F36" s="12" t="s">
        <v>95</v>
      </c>
      <c r="G36" s="36" t="s">
        <v>126</v>
      </c>
      <c r="H36" s="34" t="s">
        <v>127</v>
      </c>
    </row>
    <row r="37" spans="1:8">
      <c r="A37" s="12">
        <v>17</v>
      </c>
      <c r="B37" s="34" t="s">
        <v>128</v>
      </c>
      <c r="C37" s="34" t="s">
        <v>129</v>
      </c>
      <c r="F37" s="12" t="s">
        <v>95</v>
      </c>
      <c r="G37" s="41" t="s">
        <v>130</v>
      </c>
      <c r="H37" s="39" t="s">
        <v>131</v>
      </c>
    </row>
    <row r="38" spans="1:8" s="42" customFormat="1">
      <c r="A38" s="42">
        <v>18</v>
      </c>
      <c r="B38" s="43" t="s">
        <v>132</v>
      </c>
      <c r="C38" s="42" t="s">
        <v>133</v>
      </c>
      <c r="F38" s="42" t="s">
        <v>134</v>
      </c>
      <c r="G38" s="44" t="s">
        <v>135</v>
      </c>
      <c r="H38" s="42" t="s">
        <v>136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opLeftCell="B4" zoomScaleNormal="100" workbookViewId="0" xr3:uid="{842E5F09-E766-5B8D-85AF-A39847EA96FD}">
      <selection activeCell="E4" sqref="E4"/>
    </sheetView>
  </sheetViews>
  <sheetFormatPr defaultColWidth="8.85546875" defaultRowHeight="15.75"/>
  <cols>
    <col min="1" max="1" width="8" style="22" bestFit="1" customWidth="1"/>
    <col min="2" max="2" width="10.85546875" style="22" customWidth="1"/>
    <col min="3" max="3" width="10" style="22" bestFit="1" customWidth="1"/>
    <col min="4" max="4" width="39.5703125" style="22" bestFit="1" customWidth="1"/>
    <col min="5" max="5" width="67.7109375" style="22" customWidth="1"/>
    <col min="6" max="16384" width="8.85546875" style="22"/>
  </cols>
  <sheetData>
    <row r="1" spans="1:5">
      <c r="B1" s="21" t="s">
        <v>137</v>
      </c>
      <c r="C1" s="30" t="str">
        <f>+"http://10.11.62.82:28080/IRIS/api/v1.0.0/party/"&amp;Spec!$C$1</f>
        <v>http://10.11.62.82:28080/IRIS/api/v1.0.0/party/EF0009</v>
      </c>
      <c r="D1" s="21"/>
      <c r="E1" s="20"/>
    </row>
    <row r="2" spans="1:5">
      <c r="A2" s="20"/>
      <c r="B2" s="20" t="s">
        <v>138</v>
      </c>
      <c r="C2" s="30" t="str">
        <f>+"http://10.11.62.82:58080/IRIS/api/v1.0.0/party/"&amp;Spec!$C$1</f>
        <v>http://10.11.62.82:58080/IRIS/api/v1.0.0/party/EF0009</v>
      </c>
      <c r="D2" s="12"/>
      <c r="E2" s="20"/>
    </row>
    <row r="3" spans="1:5">
      <c r="A3" s="23"/>
      <c r="B3" s="24" t="s">
        <v>139</v>
      </c>
      <c r="C3" s="25" t="s">
        <v>140</v>
      </c>
      <c r="D3" s="25" t="s">
        <v>141</v>
      </c>
      <c r="E3" s="26" t="s">
        <v>142</v>
      </c>
    </row>
    <row r="4" spans="1:5" ht="408.4" customHeight="1">
      <c r="A4" s="23"/>
      <c r="B4" s="27" t="s">
        <v>143</v>
      </c>
      <c r="C4" s="27"/>
      <c r="D4" s="29" t="s">
        <v>144</v>
      </c>
      <c r="E4" s="28" t="s">
        <v>145</v>
      </c>
    </row>
    <row r="5" spans="1:5">
      <c r="B5" s="27"/>
      <c r="C5" s="27"/>
      <c r="D5" s="29"/>
      <c r="E5" s="28"/>
    </row>
  </sheetData>
  <phoneticPr fontId="3" type="noConversion"/>
  <hyperlinks>
    <hyperlink ref="C1" r:id="rId1" display="http://10.11.62.82:28080/IRIS/api/v1.0.0/party/EL0099" xr:uid="{47D04BCD-E4F9-437C-87DD-CC3EE236A36E}"/>
    <hyperlink ref="C2" r:id="rId2" display="http://10.11.62.82:28080/IRIS/api/v1.0.0/party/EL0099" xr:uid="{6A15342C-F2C0-4679-BA59-7D3F7E42FEEC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85DBF4-A22D-4051-BC3B-F7FA54DC05C5}"/>
</file>

<file path=customXml/itemProps2.xml><?xml version="1.0" encoding="utf-8"?>
<ds:datastoreItem xmlns:ds="http://schemas.openxmlformats.org/officeDocument/2006/customXml" ds:itemID="{DD50923C-95A5-44F6-BCC1-6F9FBFEF8573}"/>
</file>

<file path=customXml/itemProps3.xml><?xml version="1.0" encoding="utf-8"?>
<ds:datastoreItem xmlns:ds="http://schemas.openxmlformats.org/officeDocument/2006/customXml" ds:itemID="{655334F2-BD2D-432B-9C99-C34C46175C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蔡泓智-數位應用部-永豐銀行</cp:lastModifiedBy>
  <cp:revision/>
  <dcterms:created xsi:type="dcterms:W3CDTF">2020-03-13T10:54:50Z</dcterms:created>
  <dcterms:modified xsi:type="dcterms:W3CDTF">2024-08-16T02:23:46Z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