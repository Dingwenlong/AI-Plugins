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存款/"/>
    </mc:Choice>
  </mc:AlternateContent>
  <xr:revisionPtr revIDLastSave="0" documentId="13_ncr:1_{6F6D9D3C-994F-4D0D-9E96-7514A5073F8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修改歷程" sheetId="1" r:id="rId1"/>
    <sheet name="規格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" i="2" l="1"/>
  <c r="C3" i="2"/>
  <c r="C2" i="3"/>
  <c r="C1" i="3"/>
</calcChain>
</file>

<file path=xl/sharedStrings.xml><?xml version="1.0" encoding="utf-8"?>
<sst xmlns="http://schemas.openxmlformats.org/spreadsheetml/2006/main" count="176" uniqueCount="121">
  <si>
    <t>Document History</t>
  </si>
  <si>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</si>
  <si>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</si>
  <si>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</si>
  <si>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</si>
  <si>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</si>
  <si>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</si>
  <si>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</si>
  <si>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</si>
  <si>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</si>
  <si>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</si>
  <si>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</si>
  <si>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</si>
  <si>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</si>
  <si>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No</t>
  </si>
  <si>
    <t>Field name</t>
  </si>
  <si>
    <t>API Vocabalary</t>
  </si>
  <si>
    <t>Single Multi</t>
  </si>
  <si>
    <t>Length</t>
  </si>
  <si>
    <t>Response json</t>
  </si>
  <si>
    <t xml:space="preserve">Notice：
</t>
    <phoneticPr fontId="3" type="noConversion"/>
  </si>
  <si>
    <t>API_Vocabalary</t>
    <phoneticPr fontId="3" type="noConversion"/>
  </si>
  <si>
    <t>ENQ / TXN / AAA</t>
    <phoneticPr fontId="3" type="noConversion"/>
  </si>
  <si>
    <t>Header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</si>
  <si>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</si>
  <si>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</si>
  <si>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</si>
  <si>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</si>
  <si>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</si>
  <si>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</si>
  <si>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</si>
  <si>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</si>
  <si>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r>
      <t>API KEY (</t>
    </r>
    <r>
      <rPr>
        <b/>
        <sz val="11"/>
        <rFont val="Microsoft JhengHei Light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</si>
  <si>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查詢名稱</t>
    </r>
    <phoneticPr fontId="3" type="noConversion"/>
  </si>
  <si>
    <r>
      <t xml:space="preserve">page_size: </t>
    </r>
    <r>
      <rPr>
        <sz val="11"/>
        <color theme="1"/>
        <rFont val="Microsoft JhengHei Light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Microsoft JhengHei Light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Microsoft JhengHei Light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Microsoft JhengHei Light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Microsoft JhengHei Light"/>
        <family val="2"/>
        <charset val="136"/>
      </rPr>
      <t>密碼</t>
    </r>
    <phoneticPr fontId="3" type="noConversion"/>
  </si>
  <si>
    <r>
      <t>Mandatory(</t>
    </r>
    <r>
      <rPr>
        <b/>
        <sz val="11"/>
        <color theme="1"/>
        <rFont val="Microsoft JhengHei Light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</si>
  <si>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r>
      <rPr>
        <b/>
        <sz val="11"/>
        <rFont val="Microsoft JhengHei Light"/>
        <family val="2"/>
        <charset val="136"/>
      </rPr>
      <t>欄位名稱</t>
    </r>
    <phoneticPr fontId="3" type="noConversion"/>
  </si>
  <si>
    <r>
      <rPr>
        <b/>
        <sz val="11"/>
        <rFont val="Microsoft JhengHei Light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</si>
  <si>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Microsoft JhengHei Light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Microsoft JhengHei Light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</si>
  <si>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Microsoft JhengHei Light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Microsoft JhengHei Light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Microsoft JhengHei Light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</si>
  <si>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</si>
  <si>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</si>
  <si>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</si>
  <si>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@ID</t>
  </si>
  <si>
    <t>TmnStmtAcctCrId</t>
  </si>
  <si>
    <t>LK</t>
  </si>
  <si>
    <t>ACCOUNT</t>
  </si>
  <si>
    <t>AC.NAME</t>
  </si>
  <si>
    <t>AC.CCY</t>
  </si>
  <si>
    <t>PERIOD.FIRST.DATE</t>
  </si>
  <si>
    <t>PERIOD.LAST.DATE</t>
  </si>
  <si>
    <t>CR.INT.DATE</t>
  </si>
  <si>
    <t>CR.NO.OF.DAYS</t>
  </si>
  <si>
    <t>CR.VAL.BALANCE</t>
  </si>
  <si>
    <t>CR.INT.RATE</t>
  </si>
  <si>
    <t>CR.INT.AMT</t>
  </si>
  <si>
    <t>CR.INT.TAX.RATE</t>
  </si>
  <si>
    <t>CR.INT.TAX.AMT</t>
  </si>
  <si>
    <t>TOTAL.INTEREST</t>
  </si>
  <si>
    <t>K.GRAND.TOTAL</t>
  </si>
  <si>
    <t>EnqAccount</t>
  </si>
  <si>
    <t>EnqAcName</t>
  </si>
  <si>
    <t>EnqAcCcy</t>
  </si>
  <si>
    <t>TmnPeriodFirstDate</t>
  </si>
  <si>
    <t>TmnPeriodLastDate</t>
  </si>
  <si>
    <t>TmnCrIntDate</t>
  </si>
  <si>
    <t>TmnCrNoOfDays</t>
  </si>
  <si>
    <t>TmnCrValBalance</t>
  </si>
  <si>
    <t>TmnCrIntRate</t>
  </si>
  <si>
    <t>TmnCrIntAmt</t>
  </si>
  <si>
    <t>TmnCrIntTaxRate</t>
  </si>
  <si>
    <t>TmnCrIntTaxAmt</t>
  </si>
  <si>
    <t>TmnTotalInterest</t>
  </si>
  <si>
    <t>TmnKGrandTotal</t>
  </si>
  <si>
    <t>TmnCrIntDates</t>
  </si>
  <si>
    <t>XX&lt;</t>
  </si>
  <si>
    <t>XX&gt;</t>
  </si>
  <si>
    <t>XX-</t>
  </si>
  <si>
    <t>TmnStmtAcctCrId: 00103600009…</t>
  </si>
  <si>
    <t>{
  "header": {
    "audit": {
      "T24_time": 1571,
      "parse_time": 15
    },
    "page_start": 1,
    "page_token": "6918969134.02,99",
    "total_size": 80,
    "page_size": 99,
    "status": "success"
  },
  "body": [
    {
      "TmnPeriodFirstDate": "20120823",
      "EnqAccount": "00103600009111",
      "TmnTotalInterest": "17922",
      "EnqAcName": "中文姓名1542637",
      "TmnCrIntDates": [
        {
          "TmnCrValBalance": [
            "1300000"
          ],
          "TmnCrIntRate": [
            "1.370000000"
          ],
          "TmnCrNoOfDays": [
            "365"
          ],
          "TmnCrIntDate": [
            "20120823"
          ],
          "TmnCrIntAmt": [
            "17922"
          ]
        }
      ],
      "TmnPeriodLastDate": "20130822",
      "EnqAcCcy": "TWD",
      "TmnKGrandTotal": "17922"
    },
    {
      "TmnPeriodFirstDate": "20130823",
      "EnqAccount": "00103600009111",
      "TmnTotalInterest": "18169",
      "EnqAcName": "中文姓名1542637",
      "TmnCrIntDates": [
        {
          "TmnCrValBalance": [
            "1317922"
          ],
          "TmnCrIntRate": [
            "1.370000000"
          ],
          "TmnCrNoOfDays": [
            "365"
          ],
          "TmnCrIntDate": [
            "20130823"
          ],
          "TmnCrIntAmt": [
            "18169"
          ]
        }
      ],
      "TmnPeriodLastDate": "20140822",
      "EnqAcCcy": "TWD",
      "TmnKGrandTotal": "18169"
    },
    {
      "TmnPeriodFirstDate": "20140823",
      "EnqAccount": "00103600009111",
      "TmnTotalInterest": "18420",
      "EnqAcName": "中文姓名1542637",
      "TmnCrIntDates": [
        {
          "TmnCrValBalance": [
            "1336091"
          ],
          "TmnCrIntRate": [
            "1.370000000"
          ],
          "TmnCrNoOfDays": [
            "365"
          ],
          "TmnCrIntDate": [
            "20140823"
          ],
          "TmnCrIntAmt": [
            "18420"
          ]
        }
      ],
      "TmnPeriodLastDate": "20150822",
      "EnqAcCcy": "TWD",
      "TmnKGrandTotal": "18420"
    },
    {
      "TmnPeriodFirstDate": "20150823",
      "EnqAccount": "00103600009111",
      "TmnTotalInterest": "16717",
      "EnqAcName": "中文姓名1542637",
      "TmnCrIntDates": [
        {
          "TmnCrValBalance": [
            "1354511"
          ],
          "TmnCrIntRate": [
            "1.370000000"
          ],
          "TmnCrNoOfDays": [
            "39"
          ],
          "TmnCrIntDate": [
            "20150823"
          ],
          "TmnCrIntAmt": [
            "1983"
          ]
        }
      ],
      "TmnPeriodLastDate": "20160822",
      "EnqAcCcy": "TWD",
      "TmnKGrandTotal": "16717"
    },
    {
      "TmnCrIntDates": [
        {
          "TmnCrValBalance": [
            "1354511"
          ],
          "TmnCrIntRate": [
            "1.300000000"
          ],
          "TmnCrNoOfDays": [
            "83"
          ],
          "TmnCrIntDate": [
            "20151001"
          ],
          "TmnCrIntAmt": [
            "4014"
          ]
        }
      ]
    },
    {
      "TmnCrIntDates": [
        {
          "TmnCrValBalance": [
            "1354511"
          ],
          "TmnCrIntRate": [
            "1.230000000"
          ],
          "TmnCrNoOfDays": [
            "99"
          ],
          "TmnCrIntDate": [
            "20151223"
          ],
          "TmnCrIntAmt": [
            "4544"
          ]
        }
      ]
    },
    {
      "TmnCrIntDates": [
        {
          "TmnCrValBalance": [
            "1354511"
          ],
          "TmnCrIntRate": [
            "1.160000000"
          ],
          "TmnCrNoOfDays": [
            "97"
          ],
          "TmnCrIntDate": [
            "20160331"
          ],
          "TmnCrIntAmt": [
            "4213"
          ]
        }
      ]
    },</t>
  </si>
  <si>
    <t>TmnStmtAcctCrId: 00103600009683…</t>
  </si>
  <si>
    <t>{
  "header": {
    "audit": {
      "T24_time": 270,
      "parse_time": 1
    },
    "page_start": 1,
    "page_token": "6661769399.02,99",
    "total_size": 2,
    "page_size": 99,
    "status": "success"
  },
  "body": [
    {
      "TmnPeriodFirstDate": "20120827",
      "EnqAccount": "00103600009683",
      "TmnTotalInterest": "4088",
      "EnqAcName": "中文姓名1222568",
      "TmnCrIntDates": [
        {
          "TmnCrValBalance": [
            "92000"
          ],
          "TmnCrIntRate": [
            "1.45"
          ],
          "TmnCrNoOfDays": [
            "1095"
          ],
          "TmnCrIntDate": [
            "20120827"
          ],
          "TmnCrIntAmt": [
            "4088"
          ]
        }
      ],
      "TmnPeriodLastDate": "20150826",
      "EnqAcCcy": "TWD",
      "TmnKGrandTotal": "4088"
    },
    {
      "TmnPeriodFirstDate": "20150827",
      "EnqAccount": "00103600009683",
      "TmnTotalInterest": "4273",
      "EnqAcName": "中文姓名1222568",
      "TmnCrIntDates": [
        {
          "TmnCrValBalance": [
            "96088"
          ],
          "TmnCrIntRate": [
            "1.45"
          ],
          "TmnCrNoOfDays": [
            "1096"
          ],
          "TmnCrIntDate": [
            "20150827"
          ],
          "TmnCrIntAmt": [
            "4273"
          ]
        }
      ],
      "TmnPeriodLastDate": "20180826",
      "EnqAcCcy": "TWD",
      "TmnKGrandTotal": "4273"
    }
  ]
}</t>
  </si>
  <si>
    <r>
      <rPr>
        <b/>
        <sz val="11"/>
        <rFont val="Microsoft JhengHei Light"/>
        <family val="2"/>
        <charset val="136"/>
      </rPr>
      <t>對應</t>
    </r>
    <r>
      <rPr>
        <b/>
        <sz val="11"/>
        <rFont val="Calibri"/>
        <family val="2"/>
      </rPr>
      <t>API Vocabulary</t>
    </r>
  </si>
  <si>
    <t>ED0009</t>
  </si>
  <si>
    <t>已付利息查詢</t>
  </si>
  <si>
    <t>林仕偉</t>
    <phoneticPr fontId="3" type="noConversion"/>
  </si>
  <si>
    <t>TMB.STMT.AC.CR.ENQ</t>
    <phoneticPr fontId="3" type="noConversion"/>
  </si>
  <si>
    <t>欄位說明(中文)</t>
    <phoneticPr fontId="3" type="noConversion"/>
  </si>
  <si>
    <t>欄位說明(英文)</t>
    <phoneticPr fontId="3" type="noConversion"/>
  </si>
  <si>
    <t>16R</t>
  </si>
  <si>
    <t>11R</t>
  </si>
  <si>
    <t>3R</t>
  </si>
  <si>
    <t>19R</t>
  </si>
  <si>
    <t>Account Name</t>
  </si>
  <si>
    <t>Account ID</t>
  </si>
  <si>
    <t>Currency</t>
  </si>
  <si>
    <t>Start Date</t>
  </si>
  <si>
    <t>End Date</t>
  </si>
  <si>
    <t>Days</t>
  </si>
  <si>
    <t xml:space="preserve">	Balance</t>
  </si>
  <si>
    <t>Tax rate</t>
  </si>
  <si>
    <t>Tax Amount</t>
  </si>
  <si>
    <t>Total Int</t>
  </si>
  <si>
    <t>Total interest to be credited to the customers account after deduction of Tax</t>
  </si>
  <si>
    <t>Interes Amount</t>
  </si>
  <si>
    <t>Interes rate</t>
  </si>
  <si>
    <t>Interes date</t>
  </si>
  <si>
    <t>幣別</t>
  </si>
  <si>
    <t>給息起日</t>
  </si>
  <si>
    <t>給息迄日</t>
  </si>
  <si>
    <t>計息日期</t>
  </si>
  <si>
    <t>計息天數</t>
  </si>
  <si>
    <t>本金</t>
  </si>
  <si>
    <t>年利率</t>
  </si>
  <si>
    <t>利息小計</t>
  </si>
  <si>
    <t>利息毛息</t>
  </si>
  <si>
    <t>帳號</t>
  </si>
  <si>
    <t>戶名</t>
  </si>
  <si>
    <t>扣繳稅率</t>
    <phoneticPr fontId="3" type="noConversion"/>
  </si>
  <si>
    <t>扣繳金額</t>
    <phoneticPr fontId="3" type="noConversion"/>
  </si>
  <si>
    <t>扣稅後淨利息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</si>
</sst>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b/>
      <sz val="11"/>
      <color theme="1"/>
      <name val="Calibri"/>
      <family val="2"/>
    </font>
    <font>
      <b/>
      <sz val="11"/>
      <color theme="1"/>
      <name val="Microsoft JhengHei Light"/>
      <family val="2"/>
      <charset val="136"/>
    </font>
    <font>
      <sz val="1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微軟正黑體"/>
      <family val="2"/>
      <charset val="136"/>
    </font>
    <font>
      <sz val="10.75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0"/>
      <color rgb="FF000000"/>
      <name val="新細明體"/>
      <family val="2"/>
      <scheme val="minor"/>
    </font>
    <font>
      <sz val="11"/>
      <color theme="1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4" fillId="6" borderId="6" xfId="0" applyFont="1" applyFill="1" applyBorder="1"/>
    <xf numFmtId="0" fontId="16" fillId="0" borderId="6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6" fillId="0" borderId="6" xfId="5" applyFont="1" applyBorder="1" applyAlignment="1">
      <alignment horizontal="left" vertical="top" wrapText="1"/>
    </xf>
    <xf numFmtId="0" fontId="17" fillId="0" borderId="0" xfId="0" applyFont="1" applyAlignment="1">
      <alignment vertical="center"/>
    </xf>
    <xf numFmtId="0" fontId="17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8" fillId="0" borderId="0" xfId="5" applyFont="1"/>
    <xf numFmtId="0" fontId="19" fillId="4" borderId="6" xfId="0" applyFont="1" applyFill="1" applyBorder="1" applyAlignment="1">
      <alignment horizontal="left"/>
    </xf>
    <xf numFmtId="0" fontId="13" fillId="0" borderId="6" xfId="0" applyFont="1" applyBorder="1"/>
    <xf numFmtId="0" fontId="20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/>
    </xf>
    <xf numFmtId="0" fontId="22" fillId="0" borderId="0" xfId="0" applyFont="1"/>
    <xf numFmtId="0" fontId="23" fillId="0" borderId="6" xfId="0" applyFont="1" applyBorder="1"/>
    <xf numFmtId="0" fontId="24" fillId="0" borderId="6" xfId="1" applyFont="1" applyBorder="1" applyAlignment="1">
      <alignment horizontal="left" vertical="top" wrapText="1"/>
    </xf>
    <xf numFmtId="0" fontId="24" fillId="4" borderId="6" xfId="0" applyFont="1" applyFill="1" applyBorder="1" applyAlignment="1">
      <alignment horizontal="left"/>
    </xf>
    <xf numFmtId="0" fontId="10" fillId="0" borderId="0" xfId="0" applyFont="1" applyFill="1" applyBorder="1"/>
    <xf numFmtId="0" fontId="17" fillId="0" borderId="0" xfId="0" applyFont="1" applyFill="1" applyBorder="1" applyAlignment="1">
      <alignment vertical="center"/>
    </xf>
    <xf numFmtId="0" fontId="2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26" fillId="0" borderId="0" xfId="0" applyFont="1"/>
    <xf numFmtId="0" fontId="26" fillId="0" borderId="0" xfId="0" applyFont="1" applyAlignment="1">
      <alignment horizontal="left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tabSelected="1" workbookViewId="0">
      <selection activeCell="D5" sqref="D5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47" t="s">
        <v>20</v>
      </c>
      <c r="B1" s="48"/>
      <c r="C1" s="48"/>
      <c r="D1" s="48"/>
      <c r="E1" s="48"/>
    </row>
    <row r="2" spans="1:5" ht="20.100000000000001" customHeight="1" thickBot="1" x14ac:dyDescent="0.3">
      <c r="A2" s="44" t="s">
        <v>0</v>
      </c>
      <c r="B2" s="45"/>
      <c r="C2" s="45"/>
      <c r="D2" s="45"/>
      <c r="E2" s="46"/>
    </row>
    <row r="3" spans="1:5" ht="16.5" thickBo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6.5" thickBot="1" x14ac:dyDescent="0.3">
      <c r="A4" s="3" t="s">
        <v>6</v>
      </c>
      <c r="B4" s="6">
        <v>44812</v>
      </c>
      <c r="C4" s="5" t="s">
        <v>7</v>
      </c>
      <c r="D4" s="35" t="s">
        <v>85</v>
      </c>
      <c r="E4" s="4" t="s">
        <v>8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8</v>
      </c>
      <c r="B11" s="4" t="s">
        <v>8</v>
      </c>
      <c r="C11" s="4" t="s">
        <v>8</v>
      </c>
      <c r="D11" s="4" t="s">
        <v>8</v>
      </c>
      <c r="E11" s="4" t="s">
        <v>8</v>
      </c>
    </row>
    <row r="12" spans="1:5" ht="16.5" thickBot="1" x14ac:dyDescent="0.3">
      <c r="A12" s="4" t="s">
        <v>8</v>
      </c>
      <c r="B12" s="4" t="s">
        <v>8</v>
      </c>
      <c r="C12" s="4" t="s">
        <v>8</v>
      </c>
      <c r="D12" s="4" t="s">
        <v>8</v>
      </c>
      <c r="E12" s="4" t="s">
        <v>8</v>
      </c>
    </row>
    <row r="13" spans="1:5" ht="16.5" thickBot="1" x14ac:dyDescent="0.3">
      <c r="A13" s="4" t="s">
        <v>8</v>
      </c>
      <c r="B13" s="4" t="s">
        <v>8</v>
      </c>
      <c r="C13" s="4" t="s">
        <v>8</v>
      </c>
      <c r="D13" s="4" t="s">
        <v>8</v>
      </c>
      <c r="E13" s="4" t="s">
        <v>8</v>
      </c>
    </row>
    <row r="14" spans="1:5" ht="16.5" thickBot="1" x14ac:dyDescent="0.3">
      <c r="A14" s="4" t="s">
        <v>8</v>
      </c>
      <c r="B14" s="4" t="s">
        <v>8</v>
      </c>
      <c r="C14" s="4" t="s">
        <v>8</v>
      </c>
      <c r="D14" s="4" t="s">
        <v>8</v>
      </c>
      <c r="E14" s="4" t="s">
        <v>8</v>
      </c>
    </row>
    <row r="15" spans="1:5" ht="16.5" thickBot="1" x14ac:dyDescent="0.3">
      <c r="A15" s="4" t="s">
        <v>8</v>
      </c>
      <c r="B15" s="4" t="s">
        <v>8</v>
      </c>
      <c r="C15" s="4" t="s">
        <v>8</v>
      </c>
      <c r="D15" s="4" t="s">
        <v>8</v>
      </c>
      <c r="E15" s="4" t="s">
        <v>8</v>
      </c>
    </row>
    <row r="16" spans="1:5" ht="16.5" thickBot="1" x14ac:dyDescent="0.3">
      <c r="A16" s="4" t="s">
        <v>8</v>
      </c>
      <c r="B16" s="4" t="s">
        <v>8</v>
      </c>
      <c r="C16" s="4" t="s">
        <v>8</v>
      </c>
      <c r="D16" s="4" t="s">
        <v>8</v>
      </c>
      <c r="E16" s="4" t="s">
        <v>8</v>
      </c>
    </row>
    <row r="17" spans="1:5" ht="16.5" thickBot="1" x14ac:dyDescent="0.3">
      <c r="A17" s="4" t="s">
        <v>8</v>
      </c>
      <c r="B17" s="4" t="s">
        <v>8</v>
      </c>
      <c r="C17" s="4" t="s">
        <v>8</v>
      </c>
      <c r="D17" s="4" t="s">
        <v>8</v>
      </c>
      <c r="E17" s="4" t="s">
        <v>8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H91"/>
  <sheetViews>
    <sheetView topLeftCell="C4" zoomScale="90" zoomScaleNormal="90" workbookViewId="0">
      <selection activeCell="G33" sqref="G33"/>
    </sheetView>
  </sheetViews>
  <sheetFormatPr defaultColWidth="8.85546875" defaultRowHeight="15" x14ac:dyDescent="0.25"/>
  <cols>
    <col min="1" max="1" width="4.28515625" style="9" bestFit="1" customWidth="1"/>
    <col min="2" max="2" width="34.42578125" style="9" bestFit="1" customWidth="1"/>
    <col min="3" max="3" width="26.42578125" style="12" bestFit="1" customWidth="1"/>
    <col min="4" max="4" width="18.7109375" style="12" bestFit="1" customWidth="1"/>
    <col min="5" max="5" width="33.140625" style="12" customWidth="1"/>
    <col min="6" max="6" width="26.28515625" style="12" bestFit="1" customWidth="1"/>
    <col min="7" max="8" width="17.42578125" style="12" bestFit="1" customWidth="1"/>
    <col min="9" max="16384" width="8.85546875" style="12"/>
  </cols>
  <sheetData>
    <row r="1" spans="2:5" x14ac:dyDescent="0.25">
      <c r="B1" s="10" t="s">
        <v>32</v>
      </c>
      <c r="C1" s="11" t="s">
        <v>83</v>
      </c>
    </row>
    <row r="2" spans="2:5" x14ac:dyDescent="0.25">
      <c r="B2" s="10" t="s">
        <v>33</v>
      </c>
      <c r="C2" s="34" t="s">
        <v>84</v>
      </c>
    </row>
    <row r="3" spans="2:5" x14ac:dyDescent="0.25">
      <c r="B3" s="10" t="s">
        <v>9</v>
      </c>
      <c r="C3" s="11" t="str">
        <f>+"/api/v1.0.0/party/"&amp;C1</f>
        <v>/api/v1.0.0/party/ED0009</v>
      </c>
    </row>
    <row r="4" spans="2:5" ht="60" x14ac:dyDescent="0.25">
      <c r="B4" s="10" t="s">
        <v>23</v>
      </c>
      <c r="C4" s="13" t="s">
        <v>34</v>
      </c>
    </row>
    <row r="5" spans="2:5" x14ac:dyDescent="0.25">
      <c r="B5" s="10" t="s">
        <v>27</v>
      </c>
      <c r="C5" s="11" t="s">
        <v>10</v>
      </c>
    </row>
    <row r="6" spans="2:5" x14ac:dyDescent="0.25">
      <c r="B6" s="10" t="s">
        <v>22</v>
      </c>
      <c r="C6" s="11" t="s">
        <v>11</v>
      </c>
    </row>
    <row r="7" spans="2:5" x14ac:dyDescent="0.25">
      <c r="B7" s="10" t="s">
        <v>40</v>
      </c>
      <c r="C7" s="11" t="s">
        <v>86</v>
      </c>
    </row>
    <row r="8" spans="2:5" x14ac:dyDescent="0.25">
      <c r="B8" s="10" t="s">
        <v>24</v>
      </c>
      <c r="C8" s="11" t="str">
        <f>+"ENQ.API."&amp;C1&amp;".1.0.0"</f>
        <v>ENQ.API.ED0009.1.0.0</v>
      </c>
    </row>
    <row r="9" spans="2:5" x14ac:dyDescent="0.25">
      <c r="B9" s="12"/>
    </row>
    <row r="10" spans="2:5" x14ac:dyDescent="0.25">
      <c r="B10" s="12"/>
    </row>
    <row r="11" spans="2:5" x14ac:dyDescent="0.25">
      <c r="B11" s="10" t="s">
        <v>12</v>
      </c>
      <c r="C11" s="14" t="s">
        <v>21</v>
      </c>
      <c r="D11" s="10" t="s">
        <v>13</v>
      </c>
      <c r="E11" s="15" t="s">
        <v>35</v>
      </c>
    </row>
    <row r="12" spans="2:5" x14ac:dyDescent="0.25">
      <c r="B12" s="36" t="s">
        <v>43</v>
      </c>
      <c r="C12" s="37" t="s">
        <v>44</v>
      </c>
      <c r="D12" s="38" t="s">
        <v>45</v>
      </c>
      <c r="E12" s="38"/>
    </row>
    <row r="13" spans="2:5" x14ac:dyDescent="0.25">
      <c r="B13" s="36"/>
      <c r="C13" s="39"/>
      <c r="D13" s="38"/>
      <c r="E13" s="38"/>
    </row>
    <row r="14" spans="2:5" x14ac:dyDescent="0.25">
      <c r="B14" s="36"/>
      <c r="C14" s="39"/>
      <c r="D14" s="38"/>
      <c r="E14" s="38"/>
    </row>
    <row r="15" spans="2:5" x14ac:dyDescent="0.25">
      <c r="B15" s="30"/>
      <c r="C15" s="16"/>
      <c r="D15" s="11"/>
      <c r="E15" s="11"/>
    </row>
    <row r="16" spans="2:5" x14ac:dyDescent="0.25">
      <c r="B16" s="12"/>
      <c r="D16" s="17"/>
    </row>
    <row r="17" spans="1:8" x14ac:dyDescent="0.25">
      <c r="A17" s="18"/>
      <c r="B17" s="17"/>
      <c r="C17" s="18"/>
      <c r="D17" s="17"/>
      <c r="E17" s="17"/>
      <c r="F17" s="17"/>
    </row>
    <row r="18" spans="1:8" s="21" customFormat="1" x14ac:dyDescent="0.25">
      <c r="A18" s="19" t="s">
        <v>14</v>
      </c>
      <c r="B18" s="19" t="s">
        <v>15</v>
      </c>
      <c r="C18" s="19" t="s">
        <v>16</v>
      </c>
      <c r="D18" s="20" t="s">
        <v>25</v>
      </c>
      <c r="E18" s="19" t="s">
        <v>17</v>
      </c>
      <c r="F18" s="19" t="s">
        <v>18</v>
      </c>
      <c r="G18" s="19" t="s">
        <v>26</v>
      </c>
      <c r="H18" s="19" t="s">
        <v>26</v>
      </c>
    </row>
    <row r="19" spans="1:8" s="21" customFormat="1" x14ac:dyDescent="0.25">
      <c r="A19" s="19"/>
      <c r="B19" s="19" t="s">
        <v>36</v>
      </c>
      <c r="C19" s="33" t="s">
        <v>82</v>
      </c>
      <c r="D19" s="19" t="s">
        <v>37</v>
      </c>
      <c r="E19" s="19" t="s">
        <v>38</v>
      </c>
      <c r="F19" s="19" t="s">
        <v>39</v>
      </c>
      <c r="G19" s="40" t="s">
        <v>87</v>
      </c>
      <c r="H19" s="40" t="s">
        <v>88</v>
      </c>
    </row>
    <row r="20" spans="1:8" ht="15.75" x14ac:dyDescent="0.25">
      <c r="A20" s="12">
        <v>1</v>
      </c>
      <c r="B20" s="29" t="s">
        <v>46</v>
      </c>
      <c r="C20" s="29" t="s">
        <v>60</v>
      </c>
      <c r="F20" s="12" t="s">
        <v>89</v>
      </c>
      <c r="G20" s="50" t="s">
        <v>116</v>
      </c>
      <c r="H20" s="43" t="s">
        <v>94</v>
      </c>
    </row>
    <row r="21" spans="1:8" ht="15.75" x14ac:dyDescent="0.25">
      <c r="A21" s="12">
        <v>2</v>
      </c>
      <c r="B21" s="29" t="s">
        <v>47</v>
      </c>
      <c r="C21" s="29" t="s">
        <v>61</v>
      </c>
      <c r="F21" s="9">
        <v>35</v>
      </c>
      <c r="G21" s="50" t="s">
        <v>117</v>
      </c>
      <c r="H21" s="43" t="s">
        <v>93</v>
      </c>
    </row>
    <row r="22" spans="1:8" ht="15.75" x14ac:dyDescent="0.25">
      <c r="A22" s="12">
        <v>3</v>
      </c>
      <c r="B22" s="29" t="s">
        <v>48</v>
      </c>
      <c r="C22" s="29" t="s">
        <v>62</v>
      </c>
      <c r="F22" s="9">
        <v>3</v>
      </c>
      <c r="G22" s="50" t="s">
        <v>107</v>
      </c>
      <c r="H22" s="9" t="s">
        <v>95</v>
      </c>
    </row>
    <row r="23" spans="1:8" ht="15.75" x14ac:dyDescent="0.25">
      <c r="A23" s="12">
        <v>4</v>
      </c>
      <c r="B23" s="29" t="s">
        <v>49</v>
      </c>
      <c r="C23" s="29" t="s">
        <v>63</v>
      </c>
      <c r="F23" s="41" t="s">
        <v>90</v>
      </c>
      <c r="G23" s="50" t="s">
        <v>108</v>
      </c>
      <c r="H23" s="43" t="s">
        <v>96</v>
      </c>
    </row>
    <row r="24" spans="1:8" ht="15.75" x14ac:dyDescent="0.25">
      <c r="A24" s="12">
        <v>5</v>
      </c>
      <c r="B24" s="29" t="s">
        <v>50</v>
      </c>
      <c r="C24" s="29" t="s">
        <v>64</v>
      </c>
      <c r="F24" s="41" t="s">
        <v>90</v>
      </c>
      <c r="G24" s="50" t="s">
        <v>109</v>
      </c>
      <c r="H24" s="43" t="s">
        <v>97</v>
      </c>
    </row>
    <row r="25" spans="1:8" ht="15.75" x14ac:dyDescent="0.25">
      <c r="A25" s="12">
        <v>6</v>
      </c>
      <c r="B25" s="29" t="s">
        <v>51</v>
      </c>
      <c r="C25" s="29" t="s">
        <v>65</v>
      </c>
      <c r="D25" s="29" t="s">
        <v>74</v>
      </c>
      <c r="E25" s="29" t="s">
        <v>75</v>
      </c>
      <c r="F25" s="42" t="s">
        <v>90</v>
      </c>
      <c r="G25" s="50" t="s">
        <v>110</v>
      </c>
      <c r="H25" s="43" t="s">
        <v>106</v>
      </c>
    </row>
    <row r="26" spans="1:8" ht="15.75" x14ac:dyDescent="0.25">
      <c r="A26" s="12">
        <v>7</v>
      </c>
      <c r="B26" s="29" t="s">
        <v>52</v>
      </c>
      <c r="C26" s="29" t="s">
        <v>66</v>
      </c>
      <c r="D26" s="29" t="s">
        <v>74</v>
      </c>
      <c r="E26" s="29" t="s">
        <v>77</v>
      </c>
      <c r="F26" s="42" t="s">
        <v>91</v>
      </c>
      <c r="G26" s="49" t="s">
        <v>111</v>
      </c>
      <c r="H26" s="43" t="s">
        <v>98</v>
      </c>
    </row>
    <row r="27" spans="1:8" ht="15.75" x14ac:dyDescent="0.25">
      <c r="A27" s="12">
        <v>8</v>
      </c>
      <c r="B27" s="29" t="s">
        <v>53</v>
      </c>
      <c r="C27" s="29" t="s">
        <v>67</v>
      </c>
      <c r="D27" s="29" t="s">
        <v>74</v>
      </c>
      <c r="E27" s="29" t="s">
        <v>77</v>
      </c>
      <c r="F27" s="42" t="s">
        <v>92</v>
      </c>
      <c r="G27" s="49" t="s">
        <v>112</v>
      </c>
      <c r="H27" s="43" t="s">
        <v>99</v>
      </c>
    </row>
    <row r="28" spans="1:8" ht="15.75" x14ac:dyDescent="0.25">
      <c r="A28" s="12">
        <v>9</v>
      </c>
      <c r="B28" s="29" t="s">
        <v>54</v>
      </c>
      <c r="C28" s="29" t="s">
        <v>68</v>
      </c>
      <c r="D28" s="29" t="s">
        <v>74</v>
      </c>
      <c r="E28" s="29" t="s">
        <v>77</v>
      </c>
      <c r="F28" s="42" t="s">
        <v>90</v>
      </c>
      <c r="G28" s="49" t="s">
        <v>113</v>
      </c>
      <c r="H28" s="43" t="s">
        <v>105</v>
      </c>
    </row>
    <row r="29" spans="1:8" ht="15.75" x14ac:dyDescent="0.25">
      <c r="A29" s="12">
        <v>10</v>
      </c>
      <c r="B29" s="29" t="s">
        <v>55</v>
      </c>
      <c r="C29" s="29" t="s">
        <v>69</v>
      </c>
      <c r="D29" s="29" t="s">
        <v>74</v>
      </c>
      <c r="E29" s="29" t="s">
        <v>77</v>
      </c>
      <c r="F29" s="42" t="s">
        <v>92</v>
      </c>
      <c r="G29" s="49" t="s">
        <v>114</v>
      </c>
      <c r="H29" s="43" t="s">
        <v>104</v>
      </c>
    </row>
    <row r="30" spans="1:8" ht="15.75" x14ac:dyDescent="0.25">
      <c r="A30" s="12">
        <v>11</v>
      </c>
      <c r="B30" s="29" t="s">
        <v>56</v>
      </c>
      <c r="C30" s="29" t="s">
        <v>70</v>
      </c>
      <c r="D30" s="29" t="s">
        <v>74</v>
      </c>
      <c r="E30" s="29" t="s">
        <v>77</v>
      </c>
      <c r="F30" s="42" t="s">
        <v>90</v>
      </c>
      <c r="G30" s="49" t="s">
        <v>118</v>
      </c>
      <c r="H30" s="43" t="s">
        <v>100</v>
      </c>
    </row>
    <row r="31" spans="1:8" ht="15.75" x14ac:dyDescent="0.25">
      <c r="A31" s="12">
        <v>12</v>
      </c>
      <c r="B31" s="29" t="s">
        <v>57</v>
      </c>
      <c r="C31" s="29" t="s">
        <v>71</v>
      </c>
      <c r="D31" s="29" t="s">
        <v>74</v>
      </c>
      <c r="E31" s="29" t="s">
        <v>76</v>
      </c>
      <c r="F31" s="42" t="s">
        <v>92</v>
      </c>
      <c r="G31" s="49" t="s">
        <v>119</v>
      </c>
      <c r="H31" s="43" t="s">
        <v>101</v>
      </c>
    </row>
    <row r="32" spans="1:8" ht="15.75" x14ac:dyDescent="0.25">
      <c r="A32" s="12">
        <v>13</v>
      </c>
      <c r="B32" s="29" t="s">
        <v>58</v>
      </c>
      <c r="C32" s="29" t="s">
        <v>72</v>
      </c>
      <c r="F32" s="42" t="s">
        <v>92</v>
      </c>
      <c r="G32" s="49" t="s">
        <v>115</v>
      </c>
      <c r="H32" s="43" t="s">
        <v>102</v>
      </c>
    </row>
    <row r="33" spans="1:8" ht="15.75" x14ac:dyDescent="0.25">
      <c r="A33" s="12">
        <v>14</v>
      </c>
      <c r="B33" s="29" t="s">
        <v>59</v>
      </c>
      <c r="C33" s="29" t="s">
        <v>73</v>
      </c>
      <c r="F33" s="42" t="s">
        <v>92</v>
      </c>
      <c r="G33" s="49" t="s">
        <v>120</v>
      </c>
      <c r="H33" s="43" t="s">
        <v>103</v>
      </c>
    </row>
    <row r="34" spans="1:8" x14ac:dyDescent="0.25">
      <c r="A34" s="12">
        <v>15</v>
      </c>
    </row>
    <row r="35" spans="1:8" x14ac:dyDescent="0.25">
      <c r="A35" s="12">
        <v>16</v>
      </c>
      <c r="B35" s="29"/>
      <c r="C35" s="29"/>
    </row>
    <row r="36" spans="1:8" x14ac:dyDescent="0.25">
      <c r="A36" s="12">
        <v>17</v>
      </c>
      <c r="B36" s="29"/>
      <c r="C36" s="29"/>
    </row>
    <row r="37" spans="1:8" x14ac:dyDescent="0.25">
      <c r="A37" s="12">
        <v>18</v>
      </c>
      <c r="B37" s="29"/>
      <c r="C37" s="29"/>
    </row>
    <row r="38" spans="1:8" x14ac:dyDescent="0.25">
      <c r="A38" s="12">
        <v>19</v>
      </c>
      <c r="B38" s="29"/>
      <c r="C38" s="29"/>
    </row>
    <row r="39" spans="1:8" x14ac:dyDescent="0.25">
      <c r="A39" s="12">
        <v>20</v>
      </c>
      <c r="B39" s="29"/>
      <c r="C39" s="29"/>
    </row>
    <row r="40" spans="1:8" x14ac:dyDescent="0.25">
      <c r="A40" s="12">
        <v>21</v>
      </c>
      <c r="B40" s="29"/>
      <c r="C40" s="29"/>
    </row>
    <row r="41" spans="1:8" x14ac:dyDescent="0.25">
      <c r="A41" s="12">
        <v>22</v>
      </c>
      <c r="B41" s="29"/>
      <c r="C41" s="29"/>
    </row>
    <row r="42" spans="1:8" x14ac:dyDescent="0.25">
      <c r="A42" s="12">
        <v>23</v>
      </c>
      <c r="B42" s="29"/>
      <c r="C42" s="29"/>
    </row>
    <row r="43" spans="1:8" x14ac:dyDescent="0.25">
      <c r="A43" s="12">
        <v>24</v>
      </c>
      <c r="B43" s="29"/>
      <c r="C43" s="29"/>
    </row>
    <row r="44" spans="1:8" x14ac:dyDescent="0.25">
      <c r="A44" s="12">
        <v>25</v>
      </c>
      <c r="B44" s="29"/>
      <c r="C44" s="29"/>
    </row>
    <row r="45" spans="1:8" x14ac:dyDescent="0.25">
      <c r="A45" s="12">
        <v>26</v>
      </c>
      <c r="B45" s="29"/>
      <c r="C45" s="29"/>
    </row>
    <row r="46" spans="1:8" x14ac:dyDescent="0.25">
      <c r="A46" s="12">
        <v>27</v>
      </c>
      <c r="B46" s="29"/>
      <c r="C46" s="29"/>
    </row>
    <row r="47" spans="1:8" x14ac:dyDescent="0.25">
      <c r="A47" s="12">
        <v>28</v>
      </c>
      <c r="B47" s="29"/>
      <c r="C47" s="29"/>
    </row>
    <row r="48" spans="1:8" x14ac:dyDescent="0.25">
      <c r="A48" s="12">
        <v>29</v>
      </c>
      <c r="B48" s="29"/>
      <c r="C48" s="29"/>
    </row>
    <row r="49" spans="1:3" x14ac:dyDescent="0.25">
      <c r="A49" s="12">
        <v>30</v>
      </c>
      <c r="B49" s="29"/>
      <c r="C49" s="29"/>
    </row>
    <row r="50" spans="1:3" x14ac:dyDescent="0.25">
      <c r="A50" s="12">
        <v>31</v>
      </c>
      <c r="B50" s="29"/>
      <c r="C50" s="29"/>
    </row>
    <row r="51" spans="1:3" x14ac:dyDescent="0.25">
      <c r="A51" s="12">
        <v>32</v>
      </c>
      <c r="B51" s="29"/>
      <c r="C51" s="29"/>
    </row>
    <row r="52" spans="1:3" x14ac:dyDescent="0.25">
      <c r="A52" s="12">
        <v>33</v>
      </c>
      <c r="B52" s="29"/>
      <c r="C52" s="29"/>
    </row>
    <row r="53" spans="1:3" x14ac:dyDescent="0.25">
      <c r="A53" s="12">
        <v>34</v>
      </c>
      <c r="B53" s="29"/>
      <c r="C53" s="29"/>
    </row>
    <row r="54" spans="1:3" x14ac:dyDescent="0.25">
      <c r="A54" s="12">
        <v>35</v>
      </c>
      <c r="B54" s="29"/>
      <c r="C54" s="29"/>
    </row>
    <row r="55" spans="1:3" x14ac:dyDescent="0.25">
      <c r="A55" s="12">
        <v>36</v>
      </c>
      <c r="B55" s="29"/>
      <c r="C55" s="29"/>
    </row>
    <row r="56" spans="1:3" x14ac:dyDescent="0.25">
      <c r="A56" s="12">
        <v>37</v>
      </c>
      <c r="B56" s="29"/>
      <c r="C56" s="29"/>
    </row>
    <row r="57" spans="1:3" x14ac:dyDescent="0.25">
      <c r="A57" s="12">
        <v>38</v>
      </c>
      <c r="B57" s="29"/>
      <c r="C57" s="29"/>
    </row>
    <row r="58" spans="1:3" x14ac:dyDescent="0.25">
      <c r="A58" s="12">
        <v>39</v>
      </c>
      <c r="B58" s="29"/>
      <c r="C58" s="29"/>
    </row>
    <row r="59" spans="1:3" x14ac:dyDescent="0.25">
      <c r="A59" s="12">
        <v>40</v>
      </c>
      <c r="B59" s="29"/>
      <c r="C59" s="29"/>
    </row>
    <row r="60" spans="1:3" x14ac:dyDescent="0.25">
      <c r="A60" s="12">
        <v>41</v>
      </c>
      <c r="B60" s="29"/>
      <c r="C60" s="29"/>
    </row>
    <row r="61" spans="1:3" x14ac:dyDescent="0.25">
      <c r="A61" s="12">
        <v>42</v>
      </c>
      <c r="B61" s="29"/>
      <c r="C61" s="29"/>
    </row>
    <row r="62" spans="1:3" x14ac:dyDescent="0.25">
      <c r="A62" s="12">
        <v>43</v>
      </c>
      <c r="B62" s="29"/>
      <c r="C62" s="29"/>
    </row>
    <row r="63" spans="1:3" x14ac:dyDescent="0.25">
      <c r="A63" s="12">
        <v>44</v>
      </c>
      <c r="B63" s="29"/>
      <c r="C63" s="29"/>
    </row>
    <row r="64" spans="1:3" x14ac:dyDescent="0.25">
      <c r="A64" s="12">
        <v>45</v>
      </c>
      <c r="B64" s="29"/>
      <c r="C64" s="29"/>
    </row>
    <row r="65" spans="1:3" x14ac:dyDescent="0.25">
      <c r="A65" s="12">
        <v>46</v>
      </c>
      <c r="B65" s="29"/>
      <c r="C65" s="29"/>
    </row>
    <row r="66" spans="1:3" x14ac:dyDescent="0.25">
      <c r="A66" s="12">
        <v>47</v>
      </c>
      <c r="B66" s="29"/>
      <c r="C66" s="29"/>
    </row>
    <row r="67" spans="1:3" x14ac:dyDescent="0.25">
      <c r="A67" s="12">
        <v>48</v>
      </c>
      <c r="B67" s="29"/>
      <c r="C67" s="29"/>
    </row>
    <row r="68" spans="1:3" x14ac:dyDescent="0.25">
      <c r="A68" s="12">
        <v>49</v>
      </c>
      <c r="B68" s="29"/>
      <c r="C68" s="29"/>
    </row>
    <row r="69" spans="1:3" x14ac:dyDescent="0.25">
      <c r="A69" s="12">
        <v>50</v>
      </c>
      <c r="B69" s="29"/>
      <c r="C69" s="29"/>
    </row>
    <row r="70" spans="1:3" x14ac:dyDescent="0.25">
      <c r="A70" s="12">
        <v>51</v>
      </c>
      <c r="B70" s="29"/>
      <c r="C70" s="29"/>
    </row>
    <row r="71" spans="1:3" x14ac:dyDescent="0.25">
      <c r="A71" s="12">
        <v>52</v>
      </c>
      <c r="B71" s="29"/>
      <c r="C71" s="29"/>
    </row>
    <row r="72" spans="1:3" x14ac:dyDescent="0.25">
      <c r="A72" s="12">
        <v>53</v>
      </c>
      <c r="B72" s="29"/>
      <c r="C72" s="29"/>
    </row>
    <row r="73" spans="1:3" x14ac:dyDescent="0.25">
      <c r="A73" s="12">
        <v>54</v>
      </c>
      <c r="B73" s="29"/>
      <c r="C73" s="29"/>
    </row>
    <row r="74" spans="1:3" x14ac:dyDescent="0.25">
      <c r="A74" s="12">
        <v>55</v>
      </c>
      <c r="B74" s="29"/>
      <c r="C74" s="29"/>
    </row>
    <row r="75" spans="1:3" x14ac:dyDescent="0.25">
      <c r="A75" s="12">
        <v>56</v>
      </c>
      <c r="B75" s="29"/>
      <c r="C75" s="29"/>
    </row>
    <row r="76" spans="1:3" x14ac:dyDescent="0.25">
      <c r="A76" s="12"/>
    </row>
    <row r="77" spans="1:3" x14ac:dyDescent="0.25">
      <c r="A77" s="12"/>
    </row>
    <row r="78" spans="1:3" x14ac:dyDescent="0.25">
      <c r="A78" s="12"/>
    </row>
    <row r="79" spans="1:3" x14ac:dyDescent="0.25">
      <c r="A79" s="12"/>
    </row>
    <row r="80" spans="1:3" x14ac:dyDescent="0.25">
      <c r="A80" s="12"/>
    </row>
    <row r="81" spans="1:1" x14ac:dyDescent="0.25">
      <c r="A81" s="12"/>
    </row>
    <row r="82" spans="1:1" x14ac:dyDescent="0.25">
      <c r="A82" s="12"/>
    </row>
    <row r="83" spans="1:1" x14ac:dyDescent="0.25">
      <c r="A83" s="12"/>
    </row>
    <row r="84" spans="1:1" x14ac:dyDescent="0.25">
      <c r="A84" s="12"/>
    </row>
    <row r="85" spans="1:1" x14ac:dyDescent="0.25">
      <c r="A85" s="12"/>
    </row>
    <row r="86" spans="1:1" x14ac:dyDescent="0.25">
      <c r="A86" s="12"/>
    </row>
    <row r="87" spans="1:1" x14ac:dyDescent="0.25">
      <c r="A87" s="12"/>
    </row>
    <row r="88" spans="1:1" x14ac:dyDescent="0.25">
      <c r="A88" s="12"/>
    </row>
    <row r="89" spans="1:1" x14ac:dyDescent="0.25">
      <c r="A89" s="12"/>
    </row>
    <row r="90" spans="1:1" x14ac:dyDescent="0.25">
      <c r="A90" s="12"/>
    </row>
    <row r="91" spans="1:1" x14ac:dyDescent="0.25">
      <c r="A91" s="12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opLeftCell="A10" zoomScaleNormal="100" workbookViewId="0">
      <selection activeCell="L4" sqref="L4"/>
    </sheetView>
  </sheetViews>
  <sheetFormatPr defaultColWidth="8.85546875" defaultRowHeight="15" x14ac:dyDescent="0.25"/>
  <cols>
    <col min="1" max="1" width="8" style="23" bestFit="1" customWidth="1"/>
    <col min="2" max="2" width="10.85546875" style="23" customWidth="1"/>
    <col min="3" max="3" width="10" style="23" bestFit="1" customWidth="1"/>
    <col min="4" max="4" width="39.5703125" style="23" bestFit="1" customWidth="1"/>
    <col min="5" max="5" width="67.7109375" style="23" customWidth="1"/>
    <col min="6" max="16384" width="8.85546875" style="23"/>
  </cols>
  <sheetData>
    <row r="1" spans="1:5" x14ac:dyDescent="0.25">
      <c r="A1" s="22"/>
      <c r="B1" s="22" t="s">
        <v>41</v>
      </c>
      <c r="C1" s="32" t="str">
        <f>+"http://10.11.62.82:28080/IRIS/api/v1.0.0/party/"&amp;規格!$C$1</f>
        <v>http://10.11.62.82:28080/IRIS/api/v1.0.0/party/ED0009</v>
      </c>
      <c r="E1" s="21"/>
    </row>
    <row r="2" spans="1:5" x14ac:dyDescent="0.25">
      <c r="A2" s="21"/>
      <c r="B2" s="21" t="s">
        <v>42</v>
      </c>
      <c r="C2" s="32" t="str">
        <f>+"http://10.11.62.82:58080/IRIS/api/v1.0.0/party/"&amp;規格!$C$1</f>
        <v>http://10.11.62.82:58080/IRIS/api/v1.0.0/party/ED0009</v>
      </c>
      <c r="E2" s="21"/>
    </row>
    <row r="3" spans="1:5" x14ac:dyDescent="0.25">
      <c r="B3" s="24" t="s">
        <v>28</v>
      </c>
      <c r="C3" s="25" t="s">
        <v>29</v>
      </c>
      <c r="D3" s="25" t="s">
        <v>30</v>
      </c>
      <c r="E3" s="26" t="s">
        <v>19</v>
      </c>
    </row>
    <row r="4" spans="1:5" ht="408.4" customHeight="1" x14ac:dyDescent="0.25">
      <c r="B4" s="27" t="s">
        <v>31</v>
      </c>
      <c r="C4" s="27"/>
      <c r="D4" s="28" t="s">
        <v>78</v>
      </c>
      <c r="E4" s="31" t="s">
        <v>79</v>
      </c>
    </row>
    <row r="5" spans="1:5" ht="409.5" x14ac:dyDescent="0.25">
      <c r="B5" s="27" t="s">
        <v>31</v>
      </c>
      <c r="C5" s="27"/>
      <c r="D5" s="31" t="s">
        <v>80</v>
      </c>
      <c r="E5" s="31" t="s">
        <v>81</v>
      </c>
    </row>
  </sheetData>
  <phoneticPr fontId="3" type="noConversion"/>
  <hyperlinks>
    <hyperlink ref="C1" r:id="rId1" display="http://10.11.62.82:28080/IRIS/api/v1.0.0/party/EL0099" xr:uid="{A746E610-04A6-4B44-980B-D56AEADFCB6E}"/>
    <hyperlink ref="C2" r:id="rId2" display="http://10.11.62.82:28080/IRIS/api/v1.0.0/party/EL0099" xr:uid="{B34C8FA5-ECD0-4579-8E76-F1A9BDC4FAB2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50923C-95A5-44F6-BCC1-6F9FBFEF8573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DC9005F-BDF5-4292-9FCD-95C8121C9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修改歷程</vt:lpstr>
      <vt:lpstr>規格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游鯉菁-交易系統設計部-銀行</cp:lastModifiedBy>
  <cp:revision/>
  <dcterms:created xsi:type="dcterms:W3CDTF">2020-03-13T10:54:50Z</dcterms:created>
  <dcterms:modified xsi:type="dcterms:W3CDTF">2022-09-15T10:53:21Z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