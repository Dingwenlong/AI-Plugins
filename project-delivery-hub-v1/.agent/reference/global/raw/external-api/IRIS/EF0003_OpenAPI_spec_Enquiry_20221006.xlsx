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\\onedrive.sph\DavWWWRoot\T24MOSS\Shared Documents\T24核心\IRIS\外匯\"/>
    </mc:Choice>
  </mc:AlternateContent>
  <xr:revisionPtr revIDLastSave="0" documentId="13_ncr:1_{86DCB141-0A43-45EE-AEBD-8C97B5F1AF05}" xr6:coauthVersionLast="44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3" i="2" l="1"/>
  <c r="C2" i="3" l="1"/>
  <c r="C1" i="3"/>
</calcChain>
</file>

<file path=xl/sharedStrings.xml><?xml version="1.0" encoding="utf-8"?>
<sst xmlns="http://schemas.openxmlformats.org/spreadsheetml/2006/main" count="223" uniqueCount="155">
  <si>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</si>
  <si>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</si>
  <si>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</si>
  <si>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</si>
  <si>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</si>
  <si>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</si>
  <si>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</si>
  <si>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</si>
  <si>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URL</t>
  </si>
  <si>
    <t>GET</t>
  </si>
  <si>
    <t>ENQ</t>
  </si>
  <si>
    <t>SELECTION</t>
  </si>
  <si>
    <t>OPERAND</t>
  </si>
  <si>
    <t>EQ</t>
  </si>
  <si>
    <t>No</t>
  </si>
  <si>
    <t>Field name</t>
  </si>
  <si>
    <t>Single Multi</t>
  </si>
  <si>
    <t>Length</t>
  </si>
  <si>
    <t>Response json</t>
  </si>
  <si>
    <t xml:space="preserve">Notice：
</t>
    <phoneticPr fontId="3" type="noConversion"/>
  </si>
  <si>
    <t>ENQ / TXN / AAA</t>
    <phoneticPr fontId="3" type="noConversion"/>
  </si>
  <si>
    <t>Header</t>
    <phoneticPr fontId="3" type="noConversion"/>
  </si>
  <si>
    <t>ENQUIRY ID</t>
    <phoneticPr fontId="3" type="noConversion"/>
  </si>
  <si>
    <t>COMMENTS</t>
    <phoneticPr fontId="3" type="noConversion"/>
  </si>
  <si>
    <t>Field Description</t>
    <phoneticPr fontId="3" type="noConversion"/>
  </si>
  <si>
    <t>METHOD (GET/POST/PUT/DELETE)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</si>
  <si>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</si>
  <si>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</si>
  <si>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</si>
  <si>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GET</t>
    <phoneticPr fontId="3" type="noConversion"/>
  </si>
  <si>
    <t>Original ENQUIRY ID</t>
    <phoneticPr fontId="3" type="noConversion"/>
  </si>
  <si>
    <t>MOBILE</t>
    <phoneticPr fontId="3" type="noConversion"/>
  </si>
  <si>
    <t>Document History</t>
    <phoneticPr fontId="3" type="noConversion"/>
  </si>
  <si>
    <t>Description</t>
    <phoneticPr fontId="3" type="noConversion"/>
  </si>
  <si>
    <t>API_Vocabulary</t>
    <phoneticPr fontId="3" type="noConversion"/>
  </si>
  <si>
    <t>API Vocabulary</t>
    <phoneticPr fontId="3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</si>
  <si>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</si>
  <si>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</si>
  <si>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 xml:space="preserve">查詢回饋的ID，以unique id + ',' + page_size 組成，查詢相同條件切不同頁面時，可配合回傳page_token + page_start
</t>
    </r>
    <r>
      <rPr>
        <sz val="11"/>
        <color theme="1"/>
        <rFont val="Calibri"/>
        <family val="2"/>
      </rP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</si>
  <si>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欄位名稱</t>
    <phoneticPr fontId="3" type="noConversion"/>
  </si>
  <si>
    <t>對應API Vocabulary</t>
    <phoneticPr fontId="3" type="noConversion"/>
  </si>
  <si>
    <t>分組 Group name</t>
    <phoneticPr fontId="3" type="noConversion"/>
  </si>
  <si>
    <t>Single(空白)，Multi(XX&lt;,XX-,XX&gt;)</t>
    <phoneticPr fontId="3" type="noConversion"/>
  </si>
  <si>
    <t>欄位長度+(靠左L,靠右R)</t>
    <phoneticPr fontId="3" type="noConversion"/>
  </si>
  <si>
    <t>欄位說明(中文)</t>
    <phoneticPr fontId="3" type="noConversion"/>
  </si>
  <si>
    <t>欄位說明(英文)</t>
    <phoneticPr fontId="3" type="noConversion"/>
  </si>
  <si>
    <t>35L</t>
    <phoneticPr fontId="3" type="noConversion"/>
  </si>
  <si>
    <t>3L</t>
    <phoneticPr fontId="3" type="noConversion"/>
  </si>
  <si>
    <t>RG</t>
  </si>
  <si>
    <t>8L</t>
    <phoneticPr fontId="3" type="noConversion"/>
  </si>
  <si>
    <t>20L</t>
    <phoneticPr fontId="3" type="noConversion"/>
  </si>
  <si>
    <t>15L</t>
    <phoneticPr fontId="3" type="noConversion"/>
  </si>
  <si>
    <t>5L</t>
    <phoneticPr fontId="3" type="noConversion"/>
  </si>
  <si>
    <t>16L</t>
    <phoneticPr fontId="3" type="noConversion"/>
  </si>
  <si>
    <t>9L</t>
    <phoneticPr fontId="3" type="noConversion"/>
  </si>
  <si>
    <t>吳俊興</t>
    <phoneticPr fontId="3" type="noConversion"/>
  </si>
  <si>
    <t>EF0003</t>
    <phoneticPr fontId="3" type="noConversion"/>
  </si>
  <si>
    <t>TMB.FX.TXN.DETAILS</t>
    <phoneticPr fontId="3" type="noConversion"/>
  </si>
  <si>
    <t>ETS.NO</t>
  </si>
  <si>
    <t>SphEtsNo</t>
  </si>
  <si>
    <t>CUST.MNE</t>
  </si>
  <si>
    <t>SphCustMne</t>
  </si>
  <si>
    <t>INP.BR</t>
  </si>
  <si>
    <t>SphInpBr</t>
  </si>
  <si>
    <t>ENQ.TXN.STATUS</t>
  </si>
  <si>
    <t>EnqTxnStatus</t>
  </si>
  <si>
    <t>TXN.TYPE</t>
  </si>
  <si>
    <t>SphTxnType</t>
  </si>
  <si>
    <t>COLL.BR</t>
  </si>
  <si>
    <t>SphCollBr</t>
  </si>
  <si>
    <t>TI.CHNN.CODE.S</t>
  </si>
  <si>
    <t>SphTiChnnCodeSrc</t>
  </si>
  <si>
    <t>TXN.CHNN.CODE</t>
  </si>
  <si>
    <t>SphTxnChnnCode</t>
  </si>
  <si>
    <t>V</t>
    <phoneticPr fontId="3" type="noConversion"/>
  </si>
  <si>
    <t>SPOT.CASH</t>
  </si>
  <si>
    <t>FX.RATE</t>
  </si>
  <si>
    <t>COST.RATE</t>
  </si>
  <si>
    <t>BUY.AMT</t>
  </si>
  <si>
    <t>BUY.CCY</t>
  </si>
  <si>
    <t>BUY.MAX.AMT</t>
  </si>
  <si>
    <t>BUY.BAL</t>
  </si>
  <si>
    <t>SELL.AMT</t>
  </si>
  <si>
    <t>SELL.CCY</t>
  </si>
  <si>
    <t>SELL.MAX.AMT</t>
  </si>
  <si>
    <t>SELL.BAL</t>
  </si>
  <si>
    <t>TXN.DATE</t>
  </si>
  <si>
    <t>TXN.STATUS</t>
  </si>
  <si>
    <t>TI.CHNN.CODE</t>
  </si>
  <si>
    <t>CONTRACT.DATE</t>
  </si>
  <si>
    <t>SphSpotCash</t>
  </si>
  <si>
    <t>SphFxRate</t>
  </si>
  <si>
    <t>SphCostRate</t>
  </si>
  <si>
    <t>SphBuyAmt</t>
  </si>
  <si>
    <t>SphBuyCcy</t>
  </si>
  <si>
    <t>SphBuyMaxAmt</t>
  </si>
  <si>
    <t>SphBuyBal</t>
  </si>
  <si>
    <t>SphSellAmt</t>
  </si>
  <si>
    <t>SphSellCcy</t>
  </si>
  <si>
    <t>SphSellMaxAmt</t>
  </si>
  <si>
    <t>SphSellBal</t>
  </si>
  <si>
    <t>SphTxnDate</t>
  </si>
  <si>
    <t>SphTiChnnCodeS</t>
  </si>
  <si>
    <t>SphTiChnnCode</t>
  </si>
  <si>
    <t>SphContractDate</t>
  </si>
  <si>
    <t>兌換敲價(議價)單查詢</t>
    <phoneticPr fontId="3" type="noConversion"/>
  </si>
  <si>
    <t>EnqTxnStatus</t>
    <phoneticPr fontId="3" type="noConversion"/>
  </si>
  <si>
    <t>EnqTxnStatus:1</t>
    <phoneticPr fontId="3" type="noConversion"/>
  </si>
  <si>
    <r>
      <t xml:space="preserve">{ </t>
    </r>
    <r>
      <rPr>
        <sz val="7"/>
        <color rgb="FFF0C674"/>
        <rFont val="Consolas"/>
        <family val="3"/>
      </rPr>
      <t>"header"</t>
    </r>
    <r>
      <rPr>
        <sz val="7"/>
        <color rgb="FFC5C8C6"/>
        <rFont val="Consolas"/>
        <family val="3"/>
      </rPr>
      <t xml:space="preserve">: { </t>
    </r>
    <r>
      <rPr>
        <sz val="7"/>
        <color rgb="FFF0C674"/>
        <rFont val="Consolas"/>
        <family val="3"/>
      </rPr>
      <t>"audit"</t>
    </r>
    <r>
      <rPr>
        <sz val="7"/>
        <color rgb="FFC5C8C6"/>
        <rFont val="Consolas"/>
        <family val="3"/>
      </rPr>
      <t xml:space="preserve">: { </t>
    </r>
    <r>
      <rPr>
        <sz val="7"/>
        <color rgb="FFF0C674"/>
        <rFont val="Consolas"/>
        <family val="3"/>
      </rPr>
      <t>"T24_time"</t>
    </r>
    <r>
      <rPr>
        <sz val="7"/>
        <color rgb="FFC5C8C6"/>
        <rFont val="Consolas"/>
        <family val="3"/>
      </rPr>
      <t xml:space="preserve">: </t>
    </r>
    <r>
      <rPr>
        <sz val="7"/>
        <color rgb="FFDE935F"/>
        <rFont val="Consolas"/>
        <family val="3"/>
      </rPr>
      <t>167</t>
    </r>
    <r>
      <rPr>
        <sz val="7"/>
        <color rgb="FFC5C8C6"/>
        <rFont val="Consolas"/>
        <family val="3"/>
      </rPr>
      <t xml:space="preserve"> }, </t>
    </r>
    <r>
      <rPr>
        <sz val="7"/>
        <color rgb="FFF0C674"/>
        <rFont val="Consolas"/>
        <family val="3"/>
      </rPr>
      <t>"status"</t>
    </r>
    <r>
      <rPr>
        <sz val="7"/>
        <color rgb="FFC5C8C6"/>
        <rFont val="Consolas"/>
        <family val="3"/>
      </rPr>
      <t xml:space="preserve">: </t>
    </r>
    <r>
      <rPr>
        <sz val="7"/>
        <color rgb="FFB5BD68"/>
        <rFont val="Consolas"/>
        <family val="3"/>
      </rPr>
      <t>"failed"</t>
    </r>
    <r>
      <rPr>
        <sz val="7"/>
        <color rgb="FFC5C8C6"/>
        <rFont val="Consolas"/>
        <family val="3"/>
      </rPr>
      <t xml:space="preserve"> }, </t>
    </r>
    <r>
      <rPr>
        <sz val="7"/>
        <color rgb="FFF0C674"/>
        <rFont val="Consolas"/>
        <family val="3"/>
      </rPr>
      <t>"error"</t>
    </r>
    <r>
      <rPr>
        <sz val="7"/>
        <color rgb="FFC5C8C6"/>
        <rFont val="Consolas"/>
        <family val="3"/>
      </rPr>
      <t xml:space="preserve">: { </t>
    </r>
    <r>
      <rPr>
        <sz val="7"/>
        <color rgb="FFF0C674"/>
        <rFont val="Consolas"/>
        <family val="3"/>
      </rPr>
      <t>"code"</t>
    </r>
    <r>
      <rPr>
        <sz val="7"/>
        <color rgb="FFC5C8C6"/>
        <rFont val="Consolas"/>
        <family val="3"/>
      </rPr>
      <t xml:space="preserve">: </t>
    </r>
    <r>
      <rPr>
        <sz val="7"/>
        <color rgb="FFB5BD68"/>
        <rFont val="Consolas"/>
        <family val="3"/>
      </rPr>
      <t>"TGVCP-007"</t>
    </r>
    <r>
      <rPr>
        <sz val="7"/>
        <color rgb="FFC5C8C6"/>
        <rFont val="Consolas"/>
        <family val="3"/>
      </rPr>
      <t xml:space="preserve">, </t>
    </r>
    <r>
      <rPr>
        <sz val="7"/>
        <color rgb="FFF0C674"/>
        <rFont val="Consolas"/>
        <family val="3"/>
      </rPr>
      <t>"message"</t>
    </r>
    <r>
      <rPr>
        <sz val="7"/>
        <color rgb="FFC5C8C6"/>
        <rFont val="Consolas"/>
        <family val="3"/>
      </rPr>
      <t xml:space="preserve">: </t>
    </r>
    <r>
      <rPr>
        <sz val="7"/>
        <color rgb="FFB5BD68"/>
        <rFont val="Consolas"/>
        <family val="3"/>
      </rPr>
      <t>"E12696EB-截至目前為止無交易紀錄"</t>
    </r>
    <r>
      <rPr>
        <sz val="7"/>
        <color rgb="FFC5C8C6"/>
        <rFont val="Consolas"/>
        <family val="3"/>
      </rPr>
      <t xml:space="preserve">, </t>
    </r>
    <r>
      <rPr>
        <sz val="7"/>
        <color rgb="FFF0C674"/>
        <rFont val="Consolas"/>
        <family val="3"/>
      </rPr>
      <t>"type"</t>
    </r>
    <r>
      <rPr>
        <sz val="7"/>
        <color rgb="FFC5C8C6"/>
        <rFont val="Consolas"/>
        <family val="3"/>
      </rPr>
      <t xml:space="preserve">: </t>
    </r>
    <r>
      <rPr>
        <sz val="7"/>
        <color rgb="FFB5BD68"/>
        <rFont val="Consolas"/>
        <family val="3"/>
      </rPr>
      <t>"BUSINESS"</t>
    </r>
    <r>
      <rPr>
        <sz val="7"/>
        <color rgb="FFC5C8C6"/>
        <rFont val="Consolas"/>
        <family val="3"/>
      </rPr>
      <t xml:space="preserve"> } }</t>
    </r>
  </si>
  <si>
    <r>
      <t>{
  "header": {
    "audit": {
      "T24_time": 167
    },
    "status": "failed"
  },
  "error": {
    "code": "TGVCP-007",
    "message": "E12696EB-</t>
    </r>
    <r>
      <rPr>
        <sz val="11"/>
        <color theme="1"/>
        <rFont val="細明體"/>
        <family val="2"/>
        <charset val="136"/>
      </rPr>
      <t>截至目前為止無交易紀錄</t>
    </r>
    <r>
      <rPr>
        <sz val="11"/>
        <color theme="1"/>
        <rFont val="Calibri"/>
        <family val="2"/>
      </rPr>
      <t>",
    "type": "BUSINESS"
  }
}</t>
    </r>
    <phoneticPr fontId="3" type="noConversion"/>
  </si>
  <si>
    <t>EnqTxnStatus:2</t>
    <phoneticPr fontId="3" type="noConversion"/>
  </si>
  <si>
    <t>{
  "header": {
    "audit": {
      "T24_time": 160,
      "parse_time": 0
    },
    "page_start": 1,
    "page_token": "9994061517.01,99",
    "total_size": 5,
    "page_size": 99,
    "status": "success"
  },
  "body": [
    {
      "SphSellCcy": "TWD",
      "SphCostRate": "28.1335",
      "SphBuyBal": "300",
      "EnqTxnStatus": "2",
      "SphBuyCcy": "USD",
      "SphInpBr": "771",
      "SphFxRate": "28.1335",
      "SphSellBal": "8440"
    },
    {
      "SphSellCcy": "TWD",
      "SphTiChnnCodeSrc": "BRANCH",
      "SphTiChnnCode": "BRANCH",
      "SphCostRate": "27.89",
      "EnqTxnStatus": "2",
      "SphCollBr": "TW8070001",
      "SphTxnType": "TXN.REF.NO",
      "SphBuyCcy": "USD",
      "SphInpBr": "TW8070771",
      "SphCustMne": "F2539866080",
      "SphFxRate": "27.89"
    },
    {
      "SphSellCcy": "TWD",
      "SphTiChnnCodeSrc": "BRANCH",
      "SphTiChnnCode": "BRANCH",
      "SphCostRate": "27.89",
      "EnqTxnStatus": "2",
      "SphCollBr": "TW8070001",
      "SphTxnType": "TXN.REF.NO",
      "SphBuyCcy": "USD",
      "SphInpBr": "TW8070771",
      "SphCustMne": "F2539866080",
      "SphFxRate": "27.89"
    },
    {
      "SphSellCcy": "TWD",
      "SphTiChnnCodeSrc": "BRANCH",
      "SphTiChnnCode": "BRANCH",
      "SphCostRate": "27.89",
      "EnqTxnStatus": "2",
      "SphCollBr": "TW8070001",
      "SphTxnType": "TXN.REF.NO",
      "SphBuyCcy": "USD",
      "SphInpBr": "TW8070771",
      "SphCustMne": "F2539866080",
      "SphFxRate": "27.89"
    },
    {
      "SphSellCcy": "TWD",
      "SphTiChnnCodeSrc": "BRANCH",
      "SphTiChnnCode": "BRANCH",
      "SphCostRate": "27.89",
      "EnqTxnStatus": "2",
      "SphCollBr": "TW8070001",
      "SphTxnType": "TXN.REF.NO",
      "SphBuyCcy": "USD",
      "SphInpBr": "TW8070771",
      "SphCustMne": "F2539866080",
      "SphFxRate": "27.89"
    }
  ]
}</t>
    <phoneticPr fontId="3" type="noConversion"/>
  </si>
  <si>
    <r>
      <rPr>
        <sz val="11"/>
        <color theme="1"/>
        <rFont val="細明體"/>
        <family val="3"/>
        <charset val="136"/>
      </rPr>
      <t>敲價編號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遠匯編號</t>
    </r>
    <phoneticPr fontId="3" type="noConversion"/>
  </si>
  <si>
    <t>ETS No.</t>
    <phoneticPr fontId="3" type="noConversion"/>
  </si>
  <si>
    <r>
      <rPr>
        <sz val="11"/>
        <color theme="1"/>
        <rFont val="細明體"/>
        <family val="3"/>
        <charset val="136"/>
      </rPr>
      <t>一般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現鈔</t>
    </r>
    <phoneticPr fontId="3" type="noConversion"/>
  </si>
  <si>
    <t>Spot/Cash</t>
    <phoneticPr fontId="3" type="noConversion"/>
  </si>
  <si>
    <r>
      <rPr>
        <sz val="11"/>
        <color theme="1"/>
        <rFont val="細明體"/>
        <family val="3"/>
        <charset val="136"/>
      </rPr>
      <t>訂約匯率</t>
    </r>
    <phoneticPr fontId="3" type="noConversion"/>
  </si>
  <si>
    <t>FX Exchange Rate</t>
    <phoneticPr fontId="3" type="noConversion"/>
  </si>
  <si>
    <r>
      <rPr>
        <sz val="11"/>
        <color theme="1"/>
        <rFont val="細明體"/>
        <family val="3"/>
        <charset val="136"/>
      </rPr>
      <t>成本匯率</t>
    </r>
    <phoneticPr fontId="3" type="noConversion"/>
  </si>
  <si>
    <t>Cost Exchange Rate</t>
    <phoneticPr fontId="3" type="noConversion"/>
  </si>
  <si>
    <r>
      <rPr>
        <sz val="11"/>
        <color theme="1"/>
        <rFont val="細明體"/>
        <family val="3"/>
        <charset val="136"/>
      </rPr>
      <t>買入金額</t>
    </r>
    <phoneticPr fontId="3" type="noConversion"/>
  </si>
  <si>
    <t>Buying Amount</t>
    <phoneticPr fontId="3" type="noConversion"/>
  </si>
  <si>
    <r>
      <rPr>
        <sz val="11"/>
        <color theme="1"/>
        <rFont val="細明體"/>
        <family val="3"/>
        <charset val="136"/>
      </rPr>
      <t>買入幣別</t>
    </r>
    <phoneticPr fontId="3" type="noConversion"/>
  </si>
  <si>
    <t>Buying Currency</t>
    <phoneticPr fontId="3" type="noConversion"/>
  </si>
  <si>
    <r>
      <rPr>
        <sz val="11"/>
        <color theme="1"/>
        <rFont val="細明體"/>
        <family val="3"/>
        <charset val="136"/>
      </rPr>
      <t>買入上限金額</t>
    </r>
    <phoneticPr fontId="3" type="noConversion"/>
  </si>
  <si>
    <t>Buying Max Amount</t>
    <phoneticPr fontId="3" type="noConversion"/>
  </si>
  <si>
    <r>
      <rPr>
        <sz val="11"/>
        <color theme="1"/>
        <rFont val="細明體"/>
        <family val="3"/>
        <charset val="136"/>
      </rPr>
      <t>買入交割金額</t>
    </r>
    <phoneticPr fontId="3" type="noConversion"/>
  </si>
  <si>
    <t>Buying Settle Amount</t>
    <phoneticPr fontId="3" type="noConversion"/>
  </si>
  <si>
    <r>
      <rPr>
        <sz val="11"/>
        <color theme="1"/>
        <rFont val="細明體"/>
        <family val="3"/>
        <charset val="136"/>
      </rPr>
      <t>賣出金額</t>
    </r>
    <phoneticPr fontId="3" type="noConversion"/>
  </si>
  <si>
    <t>Selling Amount</t>
    <phoneticPr fontId="3" type="noConversion"/>
  </si>
  <si>
    <r>
      <rPr>
        <sz val="11"/>
        <color theme="1"/>
        <rFont val="細明體"/>
        <family val="3"/>
        <charset val="136"/>
      </rPr>
      <t>賣出幣別</t>
    </r>
    <phoneticPr fontId="3" type="noConversion"/>
  </si>
  <si>
    <t>Selling Currency</t>
    <phoneticPr fontId="3" type="noConversion"/>
  </si>
  <si>
    <r>
      <rPr>
        <sz val="11"/>
        <color theme="1"/>
        <rFont val="細明體"/>
        <family val="3"/>
        <charset val="136"/>
      </rPr>
      <t>賣出上限金額</t>
    </r>
    <phoneticPr fontId="3" type="noConversion"/>
  </si>
  <si>
    <t>Selling Max Amount</t>
    <phoneticPr fontId="3" type="noConversion"/>
  </si>
  <si>
    <r>
      <rPr>
        <sz val="11"/>
        <color theme="1"/>
        <rFont val="細明體"/>
        <family val="3"/>
        <charset val="136"/>
      </rPr>
      <t>賣出交割金額</t>
    </r>
    <phoneticPr fontId="3" type="noConversion"/>
  </si>
  <si>
    <t>Selling Settle Amount</t>
    <phoneticPr fontId="3" type="noConversion"/>
  </si>
  <si>
    <r>
      <rPr>
        <sz val="11"/>
        <color theme="1"/>
        <rFont val="細明體"/>
        <family val="3"/>
        <charset val="136"/>
      </rPr>
      <t>收件行</t>
    </r>
    <phoneticPr fontId="3" type="noConversion"/>
  </si>
  <si>
    <t>Receiving Branch</t>
    <phoneticPr fontId="3" type="noConversion"/>
  </si>
  <si>
    <r>
      <rPr>
        <sz val="11"/>
        <color theme="1"/>
        <rFont val="細明體"/>
        <family val="3"/>
        <charset val="136"/>
      </rPr>
      <t>輸入行</t>
    </r>
    <phoneticPr fontId="3" type="noConversion"/>
  </si>
  <si>
    <t>Input Branch</t>
    <phoneticPr fontId="3" type="noConversion"/>
  </si>
  <si>
    <r>
      <rPr>
        <sz val="11"/>
        <color theme="1"/>
        <rFont val="細明體"/>
        <family val="3"/>
        <charset val="136"/>
      </rPr>
      <t>統一編號</t>
    </r>
    <r>
      <rPr>
        <sz val="11"/>
        <color theme="1"/>
        <rFont val="Calibri"/>
        <family val="2"/>
      </rPr>
      <t>/</t>
    </r>
    <r>
      <rPr>
        <sz val="11"/>
        <color theme="1"/>
        <rFont val="細明體"/>
        <family val="3"/>
        <charset val="136"/>
      </rPr>
      <t>身份證號</t>
    </r>
    <phoneticPr fontId="3" type="noConversion"/>
  </si>
  <si>
    <t>Customer ID</t>
    <phoneticPr fontId="3" type="noConversion"/>
  </si>
  <si>
    <r>
      <rPr>
        <sz val="11"/>
        <color theme="1"/>
        <rFont val="細明體"/>
        <family val="3"/>
        <charset val="136"/>
      </rPr>
      <t>交易型態</t>
    </r>
    <phoneticPr fontId="3" type="noConversion"/>
  </si>
  <si>
    <t>Transaction Type</t>
    <phoneticPr fontId="3" type="noConversion"/>
  </si>
  <si>
    <r>
      <rPr>
        <sz val="11"/>
        <color theme="1"/>
        <rFont val="細明體"/>
        <family val="3"/>
        <charset val="136"/>
      </rPr>
      <t>交易日期</t>
    </r>
    <phoneticPr fontId="3" type="noConversion"/>
  </si>
  <si>
    <t>Transaction Date</t>
    <phoneticPr fontId="3" type="noConversion"/>
  </si>
  <si>
    <r>
      <rPr>
        <sz val="11"/>
        <color theme="1"/>
        <rFont val="細明體"/>
        <family val="3"/>
        <charset val="136"/>
      </rPr>
      <t>交割狀態</t>
    </r>
    <phoneticPr fontId="3" type="noConversion"/>
  </si>
  <si>
    <t>Transaction Status</t>
    <phoneticPr fontId="3" type="noConversion"/>
  </si>
  <si>
    <r>
      <rPr>
        <sz val="11"/>
        <color theme="1"/>
        <rFont val="細明體"/>
        <family val="3"/>
        <charset val="136"/>
      </rPr>
      <t>通路別</t>
    </r>
    <phoneticPr fontId="3" type="noConversion"/>
  </si>
  <si>
    <t>Channel Codes</t>
    <phoneticPr fontId="3" type="noConversion"/>
  </si>
  <si>
    <t>Channel Code</t>
    <phoneticPr fontId="3" type="noConversion"/>
  </si>
  <si>
    <r>
      <rPr>
        <sz val="11"/>
        <color theme="1"/>
        <rFont val="細明體"/>
        <family val="3"/>
        <charset val="136"/>
      </rPr>
      <t>訂約日期</t>
    </r>
    <phoneticPr fontId="3" type="noConversion"/>
  </si>
  <si>
    <t>Contract Date</t>
    <phoneticPr fontId="3" type="noConversion"/>
  </si>
  <si>
    <r>
      <rPr>
        <sz val="11"/>
        <color theme="1"/>
        <rFont val="細明體"/>
        <family val="3"/>
        <charset val="136"/>
      </rPr>
      <t>交割類別</t>
    </r>
    <phoneticPr fontId="3" type="noConversion"/>
  </si>
  <si>
    <t>Transaction Channel Code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</si>
</sst>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name val="微軟正黑體"/>
      <family val="2"/>
      <charset val="136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  <font>
      <sz val="7"/>
      <color rgb="FFC5C8C6"/>
      <name val="Consolas"/>
      <family val="3"/>
    </font>
    <font>
      <sz val="7"/>
      <color rgb="FFF0C674"/>
      <name val="Consolas"/>
      <family val="3"/>
    </font>
    <font>
      <sz val="7"/>
      <color rgb="FFDE935F"/>
      <name val="Consolas"/>
      <family val="3"/>
    </font>
    <font>
      <sz val="7"/>
      <color rgb="FFB5BD68"/>
      <name val="Consolas"/>
      <family val="3"/>
    </font>
    <font>
      <sz val="11"/>
      <color theme="1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1" fillId="6" borderId="6" xfId="1" applyFont="1" applyFill="1" applyBorder="1" applyAlignment="1">
      <alignment vertical="center" wrapText="1"/>
    </xf>
    <xf numFmtId="0" fontId="10" fillId="0" borderId="6" xfId="0" applyFont="1" applyBorder="1"/>
    <xf numFmtId="0" fontId="10" fillId="0" borderId="0" xfId="0" applyFont="1"/>
    <xf numFmtId="0" fontId="10" fillId="0" borderId="6" xfId="0" applyFont="1" applyBorder="1" applyAlignment="1">
      <alignment wrapText="1"/>
    </xf>
    <xf numFmtId="0" fontId="11" fillId="6" borderId="6" xfId="1" applyFont="1" applyFill="1" applyBorder="1" applyAlignment="1">
      <alignment horizontal="left" vertical="top" wrapText="1"/>
    </xf>
    <xf numFmtId="0" fontId="12" fillId="6" borderId="6" xfId="0" applyFont="1" applyFill="1" applyBorder="1"/>
    <xf numFmtId="0" fontId="13" fillId="0" borderId="0" xfId="1" applyFont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1" fillId="4" borderId="6" xfId="0" applyFont="1" applyFill="1" applyBorder="1" applyAlignment="1">
      <alignment horizontal="left"/>
    </xf>
    <xf numFmtId="0" fontId="11" fillId="4" borderId="6" xfId="4" applyFont="1" applyFill="1" applyBorder="1" applyAlignment="1">
      <alignment horizontal="lef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left"/>
    </xf>
    <xf numFmtId="0" fontId="14" fillId="0" borderId="6" xfId="0" applyFont="1" applyBorder="1"/>
    <xf numFmtId="0" fontId="19" fillId="0" borderId="0" xfId="0" applyFont="1" applyAlignment="1">
      <alignment vertical="center"/>
    </xf>
    <xf numFmtId="0" fontId="19" fillId="0" borderId="6" xfId="0" applyFont="1" applyBorder="1" applyAlignment="1">
      <alignment vertical="center"/>
    </xf>
    <xf numFmtId="0" fontId="20" fillId="0" borderId="0" xfId="0" applyFont="1"/>
    <xf numFmtId="0" fontId="2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tabSelected="1" workbookViewId="0">
      <selection activeCell="B5" sqref="B5"/>
    </sheetView>
  </sheetViews>
  <sheetFormatPr defaultColWidth="9.09765625" defaultRowHeight="14.5" x14ac:dyDescent="0.3"/>
  <cols>
    <col min="1" max="2" width="13" style="1" customWidth="1"/>
    <col min="3" max="3" width="85.09765625" style="1" customWidth="1"/>
    <col min="4" max="5" width="13" style="1" customWidth="1"/>
    <col min="6" max="16384" width="9.09765625" style="1"/>
  </cols>
  <sheetData>
    <row r="1" spans="1:5" ht="38.25" customHeight="1" x14ac:dyDescent="0.3">
      <c r="A1" s="41" t="s">
        <v>19</v>
      </c>
      <c r="B1" s="42"/>
      <c r="C1" s="42"/>
      <c r="D1" s="42"/>
      <c r="E1" s="42"/>
    </row>
    <row r="2" spans="1:5" ht="20.149999999999999" customHeight="1" thickBot="1" x14ac:dyDescent="0.35">
      <c r="A2" s="38" t="s">
        <v>32</v>
      </c>
      <c r="B2" s="39"/>
      <c r="C2" s="39"/>
      <c r="D2" s="39"/>
      <c r="E2" s="40"/>
    </row>
    <row r="3" spans="1:5" ht="1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5" thickBot="1" x14ac:dyDescent="0.35">
      <c r="A4" s="3" t="s">
        <v>5</v>
      </c>
      <c r="B4" s="6">
        <v>44840</v>
      </c>
      <c r="C4" s="5" t="s">
        <v>6</v>
      </c>
      <c r="D4" s="31" t="s">
        <v>55</v>
      </c>
      <c r="E4" s="4" t="s">
        <v>7</v>
      </c>
    </row>
    <row r="5" spans="1:5" ht="15" thickBot="1" x14ac:dyDescent="0.35">
      <c r="A5" s="3"/>
      <c r="B5" s="6"/>
      <c r="C5" s="5"/>
      <c r="D5" s="3"/>
      <c r="E5" s="4"/>
    </row>
    <row r="6" spans="1:5" ht="15" thickBot="1" x14ac:dyDescent="0.35">
      <c r="A6" s="3"/>
      <c r="B6" s="6"/>
      <c r="C6" s="5"/>
      <c r="D6" s="3"/>
      <c r="E6" s="4"/>
    </row>
    <row r="7" spans="1:5" ht="15" thickBot="1" x14ac:dyDescent="0.35">
      <c r="A7" s="3"/>
      <c r="B7" s="6"/>
      <c r="C7" s="5"/>
      <c r="D7" s="3"/>
      <c r="E7" s="4"/>
    </row>
    <row r="8" spans="1:5" ht="15" thickBot="1" x14ac:dyDescent="0.35">
      <c r="A8" s="4"/>
      <c r="B8" s="7"/>
      <c r="C8" s="8"/>
      <c r="D8" s="4"/>
      <c r="E8" s="4"/>
    </row>
    <row r="9" spans="1:5" ht="15" thickBot="1" x14ac:dyDescent="0.35">
      <c r="A9" s="4"/>
      <c r="B9" s="7"/>
      <c r="C9" s="8"/>
      <c r="D9" s="4"/>
      <c r="E9" s="4"/>
    </row>
    <row r="10" spans="1:5" ht="15" thickBot="1" x14ac:dyDescent="0.35">
      <c r="A10" s="4"/>
      <c r="B10" s="7"/>
      <c r="C10" s="8"/>
      <c r="D10" s="4"/>
      <c r="E10" s="4"/>
    </row>
    <row r="11" spans="1:5" ht="15" thickBot="1" x14ac:dyDescent="0.35">
      <c r="A11" s="4" t="s">
        <v>7</v>
      </c>
      <c r="B11" s="4" t="s">
        <v>7</v>
      </c>
      <c r="C11" s="4" t="s">
        <v>7</v>
      </c>
      <c r="D11" s="4" t="s">
        <v>7</v>
      </c>
      <c r="E11" s="4" t="s">
        <v>7</v>
      </c>
    </row>
    <row r="12" spans="1:5" ht="15" thickBot="1" x14ac:dyDescent="0.35">
      <c r="A12" s="4" t="s">
        <v>7</v>
      </c>
      <c r="B12" s="4" t="s">
        <v>7</v>
      </c>
      <c r="C12" s="4" t="s">
        <v>7</v>
      </c>
      <c r="D12" s="4" t="s">
        <v>7</v>
      </c>
      <c r="E12" s="4" t="s">
        <v>7</v>
      </c>
    </row>
    <row r="13" spans="1:5" ht="15" thickBot="1" x14ac:dyDescent="0.35">
      <c r="A13" s="4" t="s">
        <v>7</v>
      </c>
      <c r="B13" s="4" t="s">
        <v>7</v>
      </c>
      <c r="C13" s="4" t="s">
        <v>7</v>
      </c>
      <c r="D13" s="4" t="s">
        <v>7</v>
      </c>
      <c r="E13" s="4" t="s">
        <v>7</v>
      </c>
    </row>
    <row r="14" spans="1:5" ht="15" thickBot="1" x14ac:dyDescent="0.35">
      <c r="A14" s="4" t="s">
        <v>7</v>
      </c>
      <c r="B14" s="4" t="s">
        <v>7</v>
      </c>
      <c r="C14" s="4" t="s">
        <v>7</v>
      </c>
      <c r="D14" s="4" t="s">
        <v>7</v>
      </c>
      <c r="E14" s="4" t="s">
        <v>7</v>
      </c>
    </row>
    <row r="15" spans="1:5" ht="15" thickBot="1" x14ac:dyDescent="0.35">
      <c r="A15" s="4" t="s">
        <v>7</v>
      </c>
      <c r="B15" s="4" t="s">
        <v>7</v>
      </c>
      <c r="C15" s="4" t="s">
        <v>7</v>
      </c>
      <c r="D15" s="4" t="s">
        <v>7</v>
      </c>
      <c r="E15" s="4" t="s">
        <v>7</v>
      </c>
    </row>
    <row r="16" spans="1:5" ht="15" thickBot="1" x14ac:dyDescent="0.35">
      <c r="A16" s="4" t="s">
        <v>7</v>
      </c>
      <c r="B16" s="4" t="s">
        <v>7</v>
      </c>
      <c r="C16" s="4" t="s">
        <v>7</v>
      </c>
      <c r="D16" s="4" t="s">
        <v>7</v>
      </c>
      <c r="E16" s="4" t="s">
        <v>7</v>
      </c>
    </row>
    <row r="17" spans="1:5" ht="15" thickBot="1" x14ac:dyDescent="0.35">
      <c r="A17" s="4" t="s">
        <v>7</v>
      </c>
      <c r="B17" s="4" t="s">
        <v>7</v>
      </c>
      <c r="C17" s="4" t="s">
        <v>7</v>
      </c>
      <c r="D17" s="4" t="s">
        <v>7</v>
      </c>
      <c r="E17" s="4" t="s">
        <v>7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45"/>
  <sheetViews>
    <sheetView zoomScale="85" zoomScaleNormal="85" workbookViewId="0">
      <selection activeCell="C1" sqref="C1"/>
    </sheetView>
  </sheetViews>
  <sheetFormatPr defaultColWidth="8.8984375" defaultRowHeight="14.5" x14ac:dyDescent="0.35"/>
  <cols>
    <col min="1" max="1" width="4.296875" style="9" bestFit="1" customWidth="1"/>
    <col min="2" max="2" width="34.3984375" style="9" customWidth="1"/>
    <col min="3" max="3" width="72.8984375" style="12" bestFit="1" customWidth="1"/>
    <col min="4" max="4" width="18.59765625" style="12" bestFit="1" customWidth="1"/>
    <col min="5" max="5" width="34.09765625" style="12" bestFit="1" customWidth="1"/>
    <col min="6" max="6" width="26.296875" style="12" bestFit="1" customWidth="1"/>
    <col min="7" max="7" width="23.296875" style="12" bestFit="1" customWidth="1"/>
    <col min="8" max="8" width="45.296875" style="12" bestFit="1" customWidth="1"/>
    <col min="9" max="9" width="41.8984375" style="12" customWidth="1"/>
    <col min="10" max="16384" width="8.8984375" style="12"/>
  </cols>
  <sheetData>
    <row r="1" spans="2:9" x14ac:dyDescent="0.35">
      <c r="B1" s="10" t="s">
        <v>36</v>
      </c>
      <c r="C1" s="11" t="s">
        <v>56</v>
      </c>
    </row>
    <row r="2" spans="2:9" x14ac:dyDescent="0.35">
      <c r="B2" s="10" t="s">
        <v>33</v>
      </c>
      <c r="C2" s="33" t="s">
        <v>105</v>
      </c>
    </row>
    <row r="3" spans="2:9" x14ac:dyDescent="0.35">
      <c r="B3" s="10" t="s">
        <v>8</v>
      </c>
      <c r="C3" s="11" t="str">
        <f>+"/api/v1.0.0/party/"&amp;C1</f>
        <v>/api/v1.0.0/party/EF0003</v>
      </c>
    </row>
    <row r="4" spans="2:9" ht="87" x14ac:dyDescent="0.35">
      <c r="B4" s="10" t="s">
        <v>21</v>
      </c>
      <c r="C4" s="13" t="s">
        <v>38</v>
      </c>
    </row>
    <row r="5" spans="2:9" x14ac:dyDescent="0.35">
      <c r="B5" s="10" t="s">
        <v>25</v>
      </c>
      <c r="C5" s="11" t="s">
        <v>9</v>
      </c>
    </row>
    <row r="6" spans="2:9" x14ac:dyDescent="0.35">
      <c r="B6" s="10" t="s">
        <v>20</v>
      </c>
      <c r="C6" s="11" t="s">
        <v>10</v>
      </c>
    </row>
    <row r="7" spans="2:9" ht="15" x14ac:dyDescent="0.35">
      <c r="B7" s="10" t="s">
        <v>30</v>
      </c>
      <c r="C7" s="11" t="s">
        <v>57</v>
      </c>
      <c r="I7" s="36"/>
    </row>
    <row r="8" spans="2:9" ht="15" x14ac:dyDescent="0.35">
      <c r="B8" s="10" t="s">
        <v>22</v>
      </c>
      <c r="C8" s="11" t="str">
        <f>+"ENQ.API."&amp;$C$1&amp;".1.0.0"</f>
        <v>ENQ.API.EF0003.1.0.0</v>
      </c>
      <c r="I8" s="36"/>
    </row>
    <row r="9" spans="2:9" x14ac:dyDescent="0.35">
      <c r="B9" s="12"/>
    </row>
    <row r="10" spans="2:9" x14ac:dyDescent="0.35">
      <c r="B10" s="12"/>
    </row>
    <row r="11" spans="2:9" x14ac:dyDescent="0.35">
      <c r="B11" s="10" t="s">
        <v>11</v>
      </c>
      <c r="C11" s="14" t="s">
        <v>34</v>
      </c>
      <c r="D11" s="10" t="s">
        <v>12</v>
      </c>
      <c r="E11" s="15" t="s">
        <v>37</v>
      </c>
    </row>
    <row r="12" spans="2:9" x14ac:dyDescent="0.35">
      <c r="B12" s="35" t="s">
        <v>58</v>
      </c>
      <c r="C12" s="35" t="s">
        <v>59</v>
      </c>
      <c r="D12" s="35" t="s">
        <v>13</v>
      </c>
      <c r="E12" s="11"/>
    </row>
    <row r="13" spans="2:9" x14ac:dyDescent="0.35">
      <c r="B13" s="35" t="s">
        <v>60</v>
      </c>
      <c r="C13" s="35" t="s">
        <v>61</v>
      </c>
      <c r="D13" s="35" t="s">
        <v>13</v>
      </c>
      <c r="E13" s="11"/>
    </row>
    <row r="14" spans="2:9" x14ac:dyDescent="0.35">
      <c r="B14" s="35" t="s">
        <v>62</v>
      </c>
      <c r="C14" s="35" t="s">
        <v>63</v>
      </c>
      <c r="D14" s="35" t="s">
        <v>13</v>
      </c>
      <c r="E14" s="11"/>
    </row>
    <row r="15" spans="2:9" x14ac:dyDescent="0.35">
      <c r="B15" s="35" t="s">
        <v>64</v>
      </c>
      <c r="C15" s="35" t="s">
        <v>106</v>
      </c>
      <c r="D15" s="35" t="s">
        <v>13</v>
      </c>
      <c r="E15" s="11" t="s">
        <v>74</v>
      </c>
    </row>
    <row r="16" spans="2:9" x14ac:dyDescent="0.35">
      <c r="B16" s="35" t="s">
        <v>66</v>
      </c>
      <c r="C16" s="35" t="s">
        <v>67</v>
      </c>
      <c r="D16" s="35" t="s">
        <v>48</v>
      </c>
      <c r="E16" s="11"/>
    </row>
    <row r="17" spans="1:8" x14ac:dyDescent="0.35">
      <c r="B17" s="35" t="s">
        <v>68</v>
      </c>
      <c r="C17" s="35" t="s">
        <v>69</v>
      </c>
      <c r="D17" s="35" t="s">
        <v>13</v>
      </c>
      <c r="E17" s="11"/>
    </row>
    <row r="18" spans="1:8" x14ac:dyDescent="0.35">
      <c r="B18" s="35" t="s">
        <v>70</v>
      </c>
      <c r="C18" s="35" t="s">
        <v>71</v>
      </c>
      <c r="D18" s="35" t="s">
        <v>13</v>
      </c>
      <c r="E18" s="11"/>
    </row>
    <row r="19" spans="1:8" x14ac:dyDescent="0.35">
      <c r="B19" s="35" t="s">
        <v>72</v>
      </c>
      <c r="C19" s="35" t="s">
        <v>73</v>
      </c>
      <c r="D19" s="35" t="s">
        <v>13</v>
      </c>
      <c r="E19" s="11"/>
    </row>
    <row r="20" spans="1:8" x14ac:dyDescent="0.35">
      <c r="B20" s="12"/>
      <c r="D20" s="16"/>
    </row>
    <row r="21" spans="1:8" x14ac:dyDescent="0.35">
      <c r="A21" s="17"/>
      <c r="B21" s="16"/>
      <c r="C21" s="17"/>
      <c r="D21" s="16"/>
      <c r="E21" s="16"/>
      <c r="F21" s="16"/>
    </row>
    <row r="22" spans="1:8" s="20" customFormat="1" x14ac:dyDescent="0.35">
      <c r="A22" s="18" t="s">
        <v>14</v>
      </c>
      <c r="B22" s="18" t="s">
        <v>15</v>
      </c>
      <c r="C22" s="18" t="s">
        <v>35</v>
      </c>
      <c r="D22" s="19" t="s">
        <v>23</v>
      </c>
      <c r="E22" s="18" t="s">
        <v>16</v>
      </c>
      <c r="F22" s="18" t="s">
        <v>17</v>
      </c>
      <c r="G22" s="18" t="s">
        <v>24</v>
      </c>
      <c r="H22" s="18" t="s">
        <v>24</v>
      </c>
    </row>
    <row r="23" spans="1:8" s="20" customFormat="1" x14ac:dyDescent="0.35">
      <c r="A23" s="32"/>
      <c r="B23" s="32" t="s">
        <v>39</v>
      </c>
      <c r="C23" s="32" t="s">
        <v>40</v>
      </c>
      <c r="D23" s="32" t="s">
        <v>41</v>
      </c>
      <c r="E23" s="32" t="s">
        <v>42</v>
      </c>
      <c r="F23" s="32" t="s">
        <v>43</v>
      </c>
      <c r="G23" s="32" t="s">
        <v>44</v>
      </c>
      <c r="H23" s="32" t="s">
        <v>45</v>
      </c>
    </row>
    <row r="24" spans="1:8" ht="15" x14ac:dyDescent="0.35">
      <c r="A24" s="12">
        <v>1</v>
      </c>
      <c r="B24" s="34" t="s">
        <v>58</v>
      </c>
      <c r="C24" s="34" t="s">
        <v>59</v>
      </c>
      <c r="F24" s="12" t="s">
        <v>49</v>
      </c>
      <c r="G24" s="9" t="s">
        <v>112</v>
      </c>
      <c r="H24" s="12" t="s">
        <v>113</v>
      </c>
    </row>
    <row r="25" spans="1:8" ht="15" x14ac:dyDescent="0.35">
      <c r="A25" s="12">
        <v>2</v>
      </c>
      <c r="B25" s="34" t="s">
        <v>75</v>
      </c>
      <c r="C25" s="34" t="s">
        <v>90</v>
      </c>
      <c r="F25" s="12" t="s">
        <v>47</v>
      </c>
      <c r="G25" s="9" t="s">
        <v>114</v>
      </c>
      <c r="H25" s="12" t="s">
        <v>115</v>
      </c>
    </row>
    <row r="26" spans="1:8" ht="15" x14ac:dyDescent="0.35">
      <c r="A26" s="12">
        <v>3</v>
      </c>
      <c r="B26" s="34" t="s">
        <v>76</v>
      </c>
      <c r="C26" s="34" t="s">
        <v>91</v>
      </c>
      <c r="F26" s="12" t="s">
        <v>50</v>
      </c>
      <c r="G26" s="9" t="s">
        <v>116</v>
      </c>
      <c r="H26" s="12" t="s">
        <v>117</v>
      </c>
    </row>
    <row r="27" spans="1:8" ht="15" x14ac:dyDescent="0.35">
      <c r="A27" s="12">
        <v>4</v>
      </c>
      <c r="B27" s="34" t="s">
        <v>77</v>
      </c>
      <c r="C27" s="34" t="s">
        <v>92</v>
      </c>
      <c r="F27" s="12" t="s">
        <v>51</v>
      </c>
      <c r="G27" s="9" t="s">
        <v>118</v>
      </c>
      <c r="H27" s="12" t="s">
        <v>119</v>
      </c>
    </row>
    <row r="28" spans="1:8" ht="15" x14ac:dyDescent="0.35">
      <c r="A28" s="12">
        <v>5</v>
      </c>
      <c r="B28" s="34" t="s">
        <v>78</v>
      </c>
      <c r="C28" s="34" t="s">
        <v>93</v>
      </c>
      <c r="F28" s="12" t="s">
        <v>52</v>
      </c>
      <c r="G28" s="9" t="s">
        <v>120</v>
      </c>
      <c r="H28" s="12" t="s">
        <v>121</v>
      </c>
    </row>
    <row r="29" spans="1:8" ht="15" x14ac:dyDescent="0.35">
      <c r="A29" s="12">
        <v>6</v>
      </c>
      <c r="B29" s="34" t="s">
        <v>79</v>
      </c>
      <c r="C29" s="34" t="s">
        <v>94</v>
      </c>
      <c r="F29" s="12" t="s">
        <v>52</v>
      </c>
      <c r="G29" s="9" t="s">
        <v>122</v>
      </c>
      <c r="H29" s="12" t="s">
        <v>123</v>
      </c>
    </row>
    <row r="30" spans="1:8" ht="15" x14ac:dyDescent="0.35">
      <c r="A30" s="12">
        <v>7</v>
      </c>
      <c r="B30" s="34" t="s">
        <v>80</v>
      </c>
      <c r="C30" s="34" t="s">
        <v>95</v>
      </c>
      <c r="F30" s="12" t="s">
        <v>46</v>
      </c>
      <c r="G30" s="12" t="s">
        <v>124</v>
      </c>
      <c r="H30" s="12" t="s">
        <v>125</v>
      </c>
    </row>
    <row r="31" spans="1:8" ht="15" x14ac:dyDescent="0.35">
      <c r="A31" s="12">
        <v>8</v>
      </c>
      <c r="B31" s="34" t="s">
        <v>81</v>
      </c>
      <c r="C31" s="34" t="s">
        <v>96</v>
      </c>
      <c r="F31" s="12" t="s">
        <v>46</v>
      </c>
      <c r="G31" s="12" t="s">
        <v>126</v>
      </c>
      <c r="H31" s="12" t="s">
        <v>127</v>
      </c>
    </row>
    <row r="32" spans="1:8" ht="15" x14ac:dyDescent="0.35">
      <c r="A32" s="12">
        <v>9</v>
      </c>
      <c r="B32" s="34" t="s">
        <v>82</v>
      </c>
      <c r="C32" s="34" t="s">
        <v>97</v>
      </c>
      <c r="F32" s="12" t="s">
        <v>46</v>
      </c>
      <c r="G32" s="12" t="s">
        <v>128</v>
      </c>
      <c r="H32" s="12" t="s">
        <v>129</v>
      </c>
    </row>
    <row r="33" spans="1:8" ht="15" x14ac:dyDescent="0.35">
      <c r="A33" s="12">
        <v>10</v>
      </c>
      <c r="B33" s="34" t="s">
        <v>83</v>
      </c>
      <c r="C33" s="34" t="s">
        <v>98</v>
      </c>
      <c r="F33" s="12" t="s">
        <v>53</v>
      </c>
      <c r="G33" s="12" t="s">
        <v>130</v>
      </c>
      <c r="H33" s="12" t="s">
        <v>131</v>
      </c>
    </row>
    <row r="34" spans="1:8" ht="15" x14ac:dyDescent="0.35">
      <c r="A34" s="12">
        <v>11</v>
      </c>
      <c r="B34" s="34" t="s">
        <v>84</v>
      </c>
      <c r="C34" s="34" t="s">
        <v>99</v>
      </c>
      <c r="F34" s="12" t="s">
        <v>54</v>
      </c>
      <c r="G34" s="12" t="s">
        <v>132</v>
      </c>
      <c r="H34" s="12" t="s">
        <v>133</v>
      </c>
    </row>
    <row r="35" spans="1:8" ht="15" x14ac:dyDescent="0.35">
      <c r="A35" s="12">
        <v>12</v>
      </c>
      <c r="B35" s="34" t="s">
        <v>85</v>
      </c>
      <c r="C35" s="34" t="s">
        <v>100</v>
      </c>
      <c r="F35" s="12" t="s">
        <v>49</v>
      </c>
      <c r="G35" s="12" t="s">
        <v>134</v>
      </c>
      <c r="H35" s="12" t="s">
        <v>135</v>
      </c>
    </row>
    <row r="36" spans="1:8" ht="15" x14ac:dyDescent="0.35">
      <c r="A36" s="12">
        <v>13</v>
      </c>
      <c r="B36" s="34" t="s">
        <v>68</v>
      </c>
      <c r="C36" s="34" t="s">
        <v>69</v>
      </c>
      <c r="F36" s="12" t="s">
        <v>50</v>
      </c>
      <c r="G36" s="12" t="s">
        <v>136</v>
      </c>
      <c r="H36" s="12" t="s">
        <v>137</v>
      </c>
    </row>
    <row r="37" spans="1:8" ht="15" x14ac:dyDescent="0.35">
      <c r="A37" s="12">
        <v>14</v>
      </c>
      <c r="B37" s="34" t="s">
        <v>62</v>
      </c>
      <c r="C37" s="34" t="s">
        <v>63</v>
      </c>
      <c r="F37" s="12" t="s">
        <v>46</v>
      </c>
      <c r="G37" s="12" t="s">
        <v>138</v>
      </c>
      <c r="H37" s="12" t="s">
        <v>139</v>
      </c>
    </row>
    <row r="38" spans="1:8" ht="15" x14ac:dyDescent="0.35">
      <c r="A38" s="12">
        <v>15</v>
      </c>
      <c r="B38" s="34" t="s">
        <v>60</v>
      </c>
      <c r="C38" s="34" t="s">
        <v>61</v>
      </c>
      <c r="F38" s="12" t="s">
        <v>50</v>
      </c>
      <c r="G38" s="12" t="s">
        <v>140</v>
      </c>
      <c r="H38" s="12" t="s">
        <v>141</v>
      </c>
    </row>
    <row r="39" spans="1:8" ht="15" x14ac:dyDescent="0.35">
      <c r="A39" s="12">
        <v>16</v>
      </c>
      <c r="B39" s="34" t="s">
        <v>66</v>
      </c>
      <c r="C39" s="34" t="s">
        <v>67</v>
      </c>
      <c r="F39" s="12" t="s">
        <v>49</v>
      </c>
      <c r="G39" s="12" t="s">
        <v>142</v>
      </c>
      <c r="H39" s="12" t="s">
        <v>143</v>
      </c>
    </row>
    <row r="40" spans="1:8" ht="15" x14ac:dyDescent="0.35">
      <c r="A40" s="12">
        <v>17</v>
      </c>
      <c r="B40" s="34" t="s">
        <v>86</v>
      </c>
      <c r="C40" s="34" t="s">
        <v>101</v>
      </c>
      <c r="F40" s="12" t="s">
        <v>50</v>
      </c>
      <c r="G40" s="12" t="s">
        <v>144</v>
      </c>
      <c r="H40" s="12" t="s">
        <v>145</v>
      </c>
    </row>
    <row r="41" spans="1:8" ht="15" x14ac:dyDescent="0.35">
      <c r="A41" s="12">
        <v>18</v>
      </c>
      <c r="B41" s="34" t="s">
        <v>87</v>
      </c>
      <c r="C41" s="34" t="s">
        <v>65</v>
      </c>
      <c r="F41" s="12" t="s">
        <v>47</v>
      </c>
      <c r="G41" s="12" t="s">
        <v>146</v>
      </c>
      <c r="H41" s="12" t="s">
        <v>147</v>
      </c>
    </row>
    <row r="42" spans="1:8" ht="15" x14ac:dyDescent="0.35">
      <c r="A42" s="12">
        <v>19</v>
      </c>
      <c r="B42" s="34" t="s">
        <v>70</v>
      </c>
      <c r="C42" s="34" t="s">
        <v>102</v>
      </c>
      <c r="F42" s="12" t="s">
        <v>47</v>
      </c>
      <c r="G42" s="12" t="s">
        <v>148</v>
      </c>
      <c r="H42" s="12" t="s">
        <v>149</v>
      </c>
    </row>
    <row r="43" spans="1:8" ht="15" x14ac:dyDescent="0.35">
      <c r="A43" s="12">
        <v>20</v>
      </c>
      <c r="B43" s="9" t="s">
        <v>88</v>
      </c>
      <c r="C43" s="12" t="s">
        <v>103</v>
      </c>
      <c r="G43" s="12" t="s">
        <v>148</v>
      </c>
      <c r="H43" s="12" t="s">
        <v>150</v>
      </c>
    </row>
    <row r="44" spans="1:8" ht="15" x14ac:dyDescent="0.35">
      <c r="A44" s="12">
        <v>21</v>
      </c>
      <c r="B44" s="9" t="s">
        <v>89</v>
      </c>
      <c r="C44" s="12" t="s">
        <v>104</v>
      </c>
      <c r="G44" s="12" t="s">
        <v>151</v>
      </c>
      <c r="H44" s="12" t="s">
        <v>152</v>
      </c>
    </row>
    <row r="45" spans="1:8" ht="15" x14ac:dyDescent="0.35">
      <c r="A45" s="12">
        <v>22</v>
      </c>
      <c r="B45" s="9" t="s">
        <v>72</v>
      </c>
      <c r="C45" s="12" t="s">
        <v>73</v>
      </c>
      <c r="G45" s="12" t="s">
        <v>153</v>
      </c>
      <c r="H45" s="12" t="s">
        <v>154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zoomScaleNormal="100" workbookViewId="0">
      <selection activeCell="F5" sqref="F5"/>
    </sheetView>
  </sheetViews>
  <sheetFormatPr defaultColWidth="8.8984375" defaultRowHeight="14.5" x14ac:dyDescent="0.3"/>
  <cols>
    <col min="1" max="1" width="8" style="22" bestFit="1" customWidth="1"/>
    <col min="2" max="2" width="10.8984375" style="22" customWidth="1"/>
    <col min="3" max="3" width="10" style="22" bestFit="1" customWidth="1"/>
    <col min="4" max="4" width="39.59765625" style="22" bestFit="1" customWidth="1"/>
    <col min="5" max="5" width="67.69921875" style="22" customWidth="1"/>
    <col min="6" max="16384" width="8.8984375" style="22"/>
  </cols>
  <sheetData>
    <row r="1" spans="1:5" x14ac:dyDescent="0.3">
      <c r="B1" s="37" t="s">
        <v>108</v>
      </c>
      <c r="C1" s="30" t="str">
        <f>+"http://10.11.62.82:28080/IRIS/api/v1.0.0/party/"&amp;Spec!$C$1</f>
        <v>http://10.11.62.82:28080/IRIS/api/v1.0.0/party/EF0003</v>
      </c>
      <c r="D1" s="21"/>
      <c r="E1" s="20"/>
    </row>
    <row r="2" spans="1:5" ht="15" x14ac:dyDescent="0.35">
      <c r="A2" s="20"/>
      <c r="B2" s="20" t="s">
        <v>31</v>
      </c>
      <c r="C2" s="30" t="str">
        <f>+"http://10.11.62.82:58080/IRIS/api/v1.0.0/party/"&amp;Spec!$C$1</f>
        <v>http://10.11.62.82:58080/IRIS/api/v1.0.0/party/EF0003</v>
      </c>
      <c r="D2" s="12"/>
      <c r="E2" s="20"/>
    </row>
    <row r="3" spans="1:5" x14ac:dyDescent="0.35">
      <c r="A3" s="23"/>
      <c r="B3" s="24" t="s">
        <v>26</v>
      </c>
      <c r="C3" s="25" t="s">
        <v>27</v>
      </c>
      <c r="D3" s="25" t="s">
        <v>28</v>
      </c>
      <c r="E3" s="26" t="s">
        <v>18</v>
      </c>
    </row>
    <row r="4" spans="1:5" ht="200" customHeight="1" x14ac:dyDescent="0.3">
      <c r="A4" s="23"/>
      <c r="B4" s="27" t="s">
        <v>29</v>
      </c>
      <c r="C4" s="27"/>
      <c r="D4" s="29" t="s">
        <v>107</v>
      </c>
      <c r="E4" s="28" t="s">
        <v>109</v>
      </c>
    </row>
    <row r="5" spans="1:5" ht="409.5" x14ac:dyDescent="0.3">
      <c r="B5" s="27" t="s">
        <v>29</v>
      </c>
      <c r="C5" s="27"/>
      <c r="D5" s="29" t="s">
        <v>110</v>
      </c>
      <c r="E5" s="28" t="s">
        <v>111</v>
      </c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334F2-BD2D-432B-9C99-C34C46175C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50923C-95A5-44F6-BCC1-6F9FBFEF8573}">
  <ds:schemaRefs>
    <ds:schemaRef ds:uri="ab2e9cef-f5ae-4fca-a593-546d369e6708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624FEDA-32E8-4690-A946-1B6718625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李英祺-核心應用部-永豐銀行</cp:lastModifiedBy>
  <cp:revision/>
  <dcterms:created xsi:type="dcterms:W3CDTF">2020-03-13T10:54:50Z</dcterms:created>
  <dcterms:modified xsi:type="dcterms:W3CDTF">2022-10-06T09:37:48Z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