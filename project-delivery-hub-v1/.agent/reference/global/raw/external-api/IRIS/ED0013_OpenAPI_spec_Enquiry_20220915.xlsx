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795CBEBA-2C0D-4467-B465-AF5D9CCC113E}" xr6:coauthVersionLast="36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<sst xmlns="http://schemas.openxmlformats.org/spreadsheetml/2006/main" count="229" uniqueCount="178">
  <si>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</si>
  <si>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</si>
  <si>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</si>
  <si>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</si>
  <si>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</si>
  <si>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</si>
  <si>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</si>
  <si>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</si>
  <si>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</si>
  <si>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廖家鴻</t>
    <phoneticPr fontId="3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</si>
  <si>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</si>
  <si>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</si>
  <si>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ED0013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</si>
  <si>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</si>
  <si>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存單解約明細試算</t>
    <phoneticPr fontId="3" type="noConversion"/>
  </si>
  <si>
    <t>URL</t>
  </si>
  <si>
    <t>Header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</si>
  <si>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</si>
  <si>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</si>
  <si>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</si>
  <si>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</si>
  <si>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</si>
  <si>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</si>
  <si>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TMBI.B0400.TD.CLO.CAL.ENQ</t>
    <phoneticPr fontId="3" type="noConversion"/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</si>
  <si>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</si>
  <si>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</si>
  <si>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</si>
  <si>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</si>
  <si>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</si>
  <si>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ENQ.ACCT.ID</t>
  </si>
  <si>
    <t>EnqAcctId</t>
  </si>
  <si>
    <t>EQ</t>
  </si>
  <si>
    <t>ENQ.QRY.DATE</t>
  </si>
  <si>
    <t>EnqQryDate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</si>
  <si>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</si>
  <si>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</si>
  <si>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</si>
  <si>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</si>
  <si>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</si>
  <si>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</si>
  <si>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</si>
  <si>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</si>
  <si>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</si>
  <si>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</si>
  <si>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</si>
  <si>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</si>
  <si>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</si>
  <si>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E.TD.ACCT</t>
  </si>
  <si>
    <t>EnqETdAcct</t>
  </si>
  <si>
    <t>16L</t>
    <phoneticPr fontId="3" type="noConversion"/>
  </si>
  <si>
    <t>中解存單帳號</t>
    <phoneticPr fontId="3" type="noConversion"/>
  </si>
  <si>
    <t>TIME DEPOSIT ACCOUNT NUMBER</t>
    <phoneticPr fontId="3" type="noConversion"/>
  </si>
  <si>
    <t>E.TD.CURR</t>
  </si>
  <si>
    <t>EnqETdCurr</t>
  </si>
  <si>
    <t>3L</t>
    <phoneticPr fontId="3" type="noConversion"/>
  </si>
  <si>
    <t>幣別</t>
    <phoneticPr fontId="3" type="noConversion"/>
  </si>
  <si>
    <t>TIME DEPOSIT CURRENCY</t>
    <phoneticPr fontId="3" type="noConversion"/>
  </si>
  <si>
    <t>E.TD.APP</t>
  </si>
  <si>
    <t>EnqETdApp</t>
  </si>
  <si>
    <t>產品代號</t>
    <phoneticPr fontId="3" type="noConversion"/>
  </si>
  <si>
    <t>TIME DEPOSIT ALL.IN.ONE PRODUCT</t>
    <phoneticPr fontId="3" type="noConversion"/>
  </si>
  <si>
    <t>E.TD.CATG</t>
  </si>
  <si>
    <t>EnqETdCatg</t>
  </si>
  <si>
    <t>70L</t>
    <phoneticPr fontId="3" type="noConversion"/>
  </si>
  <si>
    <t>CATEGORY</t>
    <phoneticPr fontId="3" type="noConversion"/>
  </si>
  <si>
    <t>TIME DEPOSIT CATEGORY</t>
    <phoneticPr fontId="3" type="noConversion"/>
  </si>
  <si>
    <t>E.TD.CATG.DESC</t>
  </si>
  <si>
    <t>EnqETdCatgDesc</t>
  </si>
  <si>
    <t>6L</t>
    <phoneticPr fontId="3" type="noConversion"/>
  </si>
  <si>
    <t>存單種類</t>
    <phoneticPr fontId="3" type="noConversion"/>
  </si>
  <si>
    <t>TIME DEPOSIT CATEGORY DESCRIPTION</t>
    <phoneticPr fontId="3" type="noConversion"/>
  </si>
  <si>
    <t>E.TD.PRIN</t>
  </si>
  <si>
    <t>EnqETdPrin</t>
  </si>
  <si>
    <t>存單金額</t>
    <phoneticPr fontId="3" type="noConversion"/>
  </si>
  <si>
    <t>TIME DEPOSIT PRINCIPAL</t>
    <phoneticPr fontId="3" type="noConversion"/>
  </si>
  <si>
    <t>E.TD.WRK.BAL</t>
  </si>
  <si>
    <t>EnqETdWrkBal</t>
  </si>
  <si>
    <t>19R</t>
    <phoneticPr fontId="3" type="noConversion"/>
  </si>
  <si>
    <t>存單餘額</t>
    <phoneticPr fontId="3" type="noConversion"/>
  </si>
  <si>
    <t>TIME DEPOSIT WORKING BALANCE</t>
    <phoneticPr fontId="3" type="noConversion"/>
  </si>
  <si>
    <t>E.VALUE.DATE</t>
  </si>
  <si>
    <t>EnqEValueDate</t>
  </si>
  <si>
    <t>8R</t>
    <phoneticPr fontId="3" type="noConversion"/>
  </si>
  <si>
    <t>開單日</t>
    <phoneticPr fontId="3" type="noConversion"/>
  </si>
  <si>
    <t>TIME DEPOSIT VALUE DATE</t>
    <phoneticPr fontId="3" type="noConversion"/>
  </si>
  <si>
    <t>E.ORG.VALUE.DATE</t>
  </si>
  <si>
    <t>EnqEOrgValueDate</t>
  </si>
  <si>
    <t>原始開單日</t>
    <phoneticPr fontId="3" type="noConversion"/>
  </si>
  <si>
    <t>TIME DEPOSIT ORIGINAL VALUE DATE</t>
    <phoneticPr fontId="3" type="noConversion"/>
  </si>
  <si>
    <t>E.MATURITY.DATE</t>
  </si>
  <si>
    <t>EnqEMaturityDate</t>
  </si>
  <si>
    <t>到期日</t>
    <phoneticPr fontId="3" type="noConversion"/>
  </si>
  <si>
    <t>TIME DEPOSIT MATURITY DATE</t>
    <phoneticPr fontId="3" type="noConversion"/>
  </si>
  <si>
    <t>E.PLN.MAT.DATE</t>
  </si>
  <si>
    <t>EnqEPlnMatDate</t>
  </si>
  <si>
    <t>中途解約日</t>
    <phoneticPr fontId="3" type="noConversion"/>
  </si>
  <si>
    <t>TIME DEPOSIT CANCELLATION DATE</t>
    <phoneticPr fontId="3" type="noConversion"/>
  </si>
  <si>
    <t>E.RATE.KEY</t>
  </si>
  <si>
    <t>EnqERateKey</t>
  </si>
  <si>
    <t>10L</t>
    <phoneticPr fontId="3" type="noConversion"/>
  </si>
  <si>
    <t>利率指標</t>
    <phoneticPr fontId="3" type="noConversion"/>
  </si>
  <si>
    <t>TIME DEPOSIT INTEREST KEY</t>
    <phoneticPr fontId="3" type="noConversion"/>
  </si>
  <si>
    <t>E.RATE.SPRD</t>
  </si>
  <si>
    <t>EnqERateSprd</t>
  </si>
  <si>
    <t>16R</t>
    <phoneticPr fontId="3" type="noConversion"/>
  </si>
  <si>
    <t>利率加減碼</t>
    <phoneticPr fontId="3" type="noConversion"/>
  </si>
  <si>
    <t>TIME DEPOSIT INTEREST RATE PLUS OR MINUS</t>
    <phoneticPr fontId="3" type="noConversion"/>
  </si>
  <si>
    <t>E.RATE.OPEN</t>
  </si>
  <si>
    <t>EnqERateOpen</t>
  </si>
  <si>
    <t>開單利率</t>
    <phoneticPr fontId="3" type="noConversion"/>
  </si>
  <si>
    <t>TIME DEPOSIT OPENING INTEREST RATE</t>
    <phoneticPr fontId="3" type="noConversion"/>
  </si>
  <si>
    <t>E.INT.PAID</t>
  </si>
  <si>
    <t>EnqEIntPaid</t>
  </si>
  <si>
    <t>已領毛息總額/零整補收逾期息</t>
    <phoneticPr fontId="3" type="noConversion"/>
  </si>
  <si>
    <t>TIME DEPOSIT PAID INTEREST</t>
    <phoneticPr fontId="3" type="noConversion"/>
  </si>
  <si>
    <t>E.INT.OVR.MAT</t>
  </si>
  <si>
    <t>EnqEIntOvrMat</t>
  </si>
  <si>
    <t>逾期息</t>
    <phoneticPr fontId="3" type="noConversion"/>
  </si>
  <si>
    <t>TIME DEPOSIT OVERDUE INTEREST</t>
    <phoneticPr fontId="3" type="noConversion"/>
  </si>
  <si>
    <t>E.INT.BEF.MAT</t>
  </si>
  <si>
    <t>EnqEIntBefMat</t>
  </si>
  <si>
    <t>應付淨息</t>
    <phoneticPr fontId="3" type="noConversion"/>
  </si>
  <si>
    <t>TIME DEPOSIT NET PATABLE INTEREST</t>
    <phoneticPr fontId="3" type="noConversion"/>
  </si>
  <si>
    <t>E.TAX.CODE</t>
  </si>
  <si>
    <t>EnqETaxCode</t>
  </si>
  <si>
    <t>2L</t>
    <phoneticPr fontId="3" type="noConversion"/>
  </si>
  <si>
    <t>扣稅別</t>
    <phoneticPr fontId="3" type="noConversion"/>
  </si>
  <si>
    <t>TIME DEPOSIT TAX CODE</t>
    <phoneticPr fontId="3" type="noConversion"/>
  </si>
  <si>
    <t>E.TAX.RATE</t>
  </si>
  <si>
    <t>EnqETaxRate</t>
  </si>
  <si>
    <t>11R</t>
    <phoneticPr fontId="3" type="noConversion"/>
  </si>
  <si>
    <t>所得稅稅率</t>
    <phoneticPr fontId="3" type="noConversion"/>
  </si>
  <si>
    <t>TIME DEPOSIT TAX RATE</t>
    <phoneticPr fontId="3" type="noConversion"/>
  </si>
  <si>
    <t>E.TAX.AMT</t>
  </si>
  <si>
    <t>EnqETaxAmt</t>
  </si>
  <si>
    <t>代扣所得稅</t>
    <phoneticPr fontId="3" type="noConversion"/>
  </si>
  <si>
    <t>TIME DEPOSIT TAX AMOUNT</t>
    <phoneticPr fontId="3" type="noConversion"/>
  </si>
  <si>
    <t>E.PR.IN.TOT</t>
  </si>
  <si>
    <t>EnqEPrInTot</t>
  </si>
  <si>
    <t>實付本利和</t>
    <phoneticPr fontId="3" type="noConversion"/>
  </si>
  <si>
    <t>TIME DEPOSIT TOTAL AMOUNT</t>
    <phoneticPr fontId="22" type="noConversion"/>
  </si>
  <si>
    <t>E.NOMI.ACCT</t>
  </si>
  <si>
    <t>EnqENomiAcct</t>
  </si>
  <si>
    <t>36L</t>
    <phoneticPr fontId="3" type="noConversion"/>
  </si>
  <si>
    <t>轉帳帳號</t>
    <phoneticPr fontId="3" type="noConversion"/>
  </si>
  <si>
    <t>TIME DEPOSIT NOMINATED ACCOUNT</t>
    <phoneticPr fontId="22" type="noConversion"/>
  </si>
  <si>
    <t>E.AIO.ACCT</t>
  </si>
  <si>
    <t>EnqEAioAcct</t>
  </si>
  <si>
    <t>19L</t>
    <phoneticPr fontId="3" type="noConversion"/>
  </si>
  <si>
    <t>綜存帳號</t>
    <phoneticPr fontId="3" type="noConversion"/>
  </si>
  <si>
    <t>AIO ACCOUNT NUMBER</t>
    <phoneticPr fontId="22" type="noConversion"/>
  </si>
  <si>
    <t>E.INSTR.TYPE</t>
  </si>
  <si>
    <t>EnqEInstrType</t>
  </si>
  <si>
    <t>存單單證種類</t>
    <phoneticPr fontId="3" type="noConversion"/>
  </si>
  <si>
    <t>TIME DEPOSIT CERTIFICATE TYPE</t>
    <phoneticPr fontId="22" type="noConversion"/>
  </si>
  <si>
    <t>E.INSTR.NO</t>
  </si>
  <si>
    <t>EnqEInstrNo</t>
  </si>
  <si>
    <t>7L</t>
    <phoneticPr fontId="3" type="noConversion"/>
  </si>
  <si>
    <t>存單單證號碼</t>
    <phoneticPr fontId="3" type="noConversion"/>
  </si>
  <si>
    <t>TIME DEPOSIT CERTIFICATE NUMBER</t>
    <phoneticPr fontId="22" type="noConversion"/>
  </si>
  <si>
    <t>E.CO.CODE</t>
  </si>
  <si>
    <t>EnqECoCode</t>
  </si>
  <si>
    <t>9L</t>
    <phoneticPr fontId="3" type="noConversion"/>
  </si>
  <si>
    <t>開單行</t>
    <phoneticPr fontId="3" type="noConversion"/>
  </si>
  <si>
    <t>CO.CODE</t>
    <phoneticPr fontId="22" type="noConversion"/>
  </si>
  <si>
    <t>E.NHI.AMT</t>
  </si>
  <si>
    <t>EnqENhiAmt</t>
  </si>
  <si>
    <t>代扣健保補充保費</t>
    <phoneticPr fontId="3" type="noConversion"/>
  </si>
  <si>
    <t>HEALTH.INSURANCE.SUPPLEMENTARY.PREMIUM</t>
    <phoneticPr fontId="22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</si>
  <si>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</si>
  <si>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</si>
  <si>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</si>
  <si>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</si>
  <si>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</si>
  <si>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</si>
  <si>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</si>
  <si>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 xml:space="preserve">Content-Type: application/json
credentials: XXXX/XXXX
companyId: TW8070036
EnqAcctId: 03603600270146
EnqQryDate: 20220923
</t>
    <phoneticPr fontId="3" type="noConversion"/>
  </si>
  <si>
    <t>{
  "header": {
    "audit": {
      "T24_time": 414,
      "parse_time": 1
    },
    "page_start": 1,
    "page_token": "0387304418.01,99",
    "total_size": 1,
    "page_size": 99,
    "status": "success"
  },
  "body": [
    {
      "EnqETdCatg": "6600",
      "EnqERateOpen": "0.600000000",
      "EnqECoCode": "TW8070036",
      "EnqETdCurr": "TWD",
      "EnqETaxRate": "10",
      "EnqEIntPaid": "0",
      "EnqERateSprd": "0",
      "EnqEPlnMatDate": "20220923",
      "EnqETdWrkBal": "113745",
      "EnqEValueDate": "20220817",
      "EnqETdApp": "TFL01",
      "EnqEAioAcct": "03600400104729",
      "EnqERateKey": "BI*801",
      "EnqETdCatgDesc": "Time Deposit - floating Rate",
      "EnqETdPrin": "113687",
      "EnqETaxAmt": "0",
      "EnqENomiAcct": "03600400104729",
      "EnqEIntBefMat": "0",
      "EnqEIntOvrMat": "11",
      "EnqENhiAmt": "0",
      "EnqETdAcct": "03603600270146",
      "EnqEPrInTot": "113756",
      "EnqEMaturityDate": "20220917"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</si>
</sst>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rgb="FF0000D4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1" fillId="0" borderId="6" xfId="0" applyFont="1" applyBorder="1"/>
    <xf numFmtId="0" fontId="20" fillId="0" borderId="0" xfId="0" applyFont="1"/>
    <xf numFmtId="0" fontId="20" fillId="0" borderId="0" xfId="0" applyFont="1" applyAlignment="1">
      <alignment horizontal="left"/>
    </xf>
    <xf numFmtId="0" fontId="2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N13" sqref="N1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/>
      <c r="C4" s="5" t="s">
        <v>8</v>
      </c>
      <c r="D4" s="36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60"/>
  <sheetViews>
    <sheetView topLeftCell="E17" zoomScale="90" zoomScaleNormal="90" workbookViewId="0" xr3:uid="{958C4451-9541-5A59-BF78-D2F731DF1C81}">
      <selection activeCell="H43" sqref="H43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5.42578125" style="12" bestFit="1" customWidth="1"/>
    <col min="8" max="8" width="50.140625" style="12" bestFit="1" customWidth="1"/>
    <col min="9" max="16384" width="8.85546875" style="12"/>
  </cols>
  <sheetData>
    <row r="1" spans="1:8">
      <c r="B1" s="10" t="s">
        <v>11</v>
      </c>
      <c r="C1" s="11" t="s">
        <v>12</v>
      </c>
    </row>
    <row r="2" spans="1:8">
      <c r="B2" s="10" t="s">
        <v>13</v>
      </c>
      <c r="C2" s="33" t="s">
        <v>14</v>
      </c>
    </row>
    <row r="3" spans="1:8">
      <c r="B3" s="10" t="s">
        <v>15</v>
      </c>
      <c r="C3" s="11" t="str">
        <f>+"/api/v1.0.0/party/"&amp;C1</f>
        <v>/api/v1.0.0/party/ED0013</v>
      </c>
    </row>
    <row r="4" spans="1:8" ht="106.5" customHeight="1">
      <c r="B4" s="10" t="s">
        <v>16</v>
      </c>
      <c r="C4" s="32" t="s">
        <v>17</v>
      </c>
    </row>
    <row r="5" spans="1:8">
      <c r="B5" s="10" t="s">
        <v>18</v>
      </c>
      <c r="C5" s="11" t="s">
        <v>19</v>
      </c>
    </row>
    <row r="6" spans="1:8">
      <c r="B6" s="10" t="s">
        <v>20</v>
      </c>
      <c r="C6" s="11" t="s">
        <v>21</v>
      </c>
    </row>
    <row r="7" spans="1:8">
      <c r="B7" s="10" t="s">
        <v>22</v>
      </c>
      <c r="C7" s="11" t="s">
        <v>23</v>
      </c>
    </row>
    <row r="8" spans="1:8">
      <c r="B8" s="10" t="s">
        <v>24</v>
      </c>
      <c r="C8" s="11" t="str">
        <f>+"ENQ.API."&amp;C1&amp;".1.0.0"</f>
        <v>ENQ.API.ED0013.1.0.0</v>
      </c>
    </row>
    <row r="9" spans="1:8">
      <c r="B9" s="12"/>
    </row>
    <row r="10" spans="1:8">
      <c r="B10" s="12"/>
    </row>
    <row r="11" spans="1:8">
      <c r="B11" s="10" t="s">
        <v>25</v>
      </c>
      <c r="C11" s="13" t="s">
        <v>26</v>
      </c>
      <c r="D11" s="10" t="s">
        <v>27</v>
      </c>
      <c r="E11" s="14" t="s">
        <v>28</v>
      </c>
    </row>
    <row r="12" spans="1:8">
      <c r="B12" s="28" t="s">
        <v>29</v>
      </c>
      <c r="C12" s="28" t="s">
        <v>30</v>
      </c>
      <c r="D12" s="28" t="s">
        <v>31</v>
      </c>
      <c r="E12" s="11"/>
    </row>
    <row r="13" spans="1:8">
      <c r="B13" s="28" t="s">
        <v>32</v>
      </c>
      <c r="C13" s="28" t="s">
        <v>33</v>
      </c>
      <c r="D13" s="28" t="s">
        <v>31</v>
      </c>
      <c r="E13" s="11"/>
    </row>
    <row r="14" spans="1:8">
      <c r="B14" s="12"/>
      <c r="D14" s="15"/>
    </row>
    <row r="15" spans="1:8">
      <c r="A15" s="16"/>
      <c r="B15" s="15"/>
      <c r="C15" s="16"/>
      <c r="D15" s="15"/>
      <c r="E15" s="15"/>
      <c r="F15" s="15"/>
    </row>
    <row r="16" spans="1:8" s="19" customFormat="1">
      <c r="A16" s="17" t="s">
        <v>34</v>
      </c>
      <c r="B16" s="17" t="s">
        <v>35</v>
      </c>
      <c r="C16" s="17" t="s">
        <v>36</v>
      </c>
      <c r="D16" s="18" t="s">
        <v>37</v>
      </c>
      <c r="E16" s="17" t="s">
        <v>38</v>
      </c>
      <c r="F16" s="17" t="s">
        <v>39</v>
      </c>
      <c r="G16" s="17" t="s">
        <v>40</v>
      </c>
      <c r="H16" s="17" t="s">
        <v>40</v>
      </c>
    </row>
    <row r="17" spans="1:8" s="19" customFormat="1">
      <c r="A17" s="17"/>
      <c r="B17" s="17" t="s">
        <v>41</v>
      </c>
      <c r="C17" s="31" t="s">
        <v>42</v>
      </c>
      <c r="D17" s="17" t="s">
        <v>43</v>
      </c>
      <c r="E17" s="17" t="s">
        <v>44</v>
      </c>
      <c r="F17" s="17" t="s">
        <v>45</v>
      </c>
      <c r="G17" s="17" t="s">
        <v>46</v>
      </c>
      <c r="H17" s="17" t="s">
        <v>46</v>
      </c>
    </row>
    <row r="18" spans="1:8" ht="15.75">
      <c r="A18" s="12">
        <v>1</v>
      </c>
      <c r="B18" s="27" t="s">
        <v>47</v>
      </c>
      <c r="C18" s="27" t="s">
        <v>48</v>
      </c>
      <c r="E18" s="27"/>
      <c r="F18" s="12" t="s">
        <v>49</v>
      </c>
      <c r="G18" s="35" t="s">
        <v>50</v>
      </c>
      <c r="H18" s="12" t="s">
        <v>51</v>
      </c>
    </row>
    <row r="19" spans="1:8" ht="15.75">
      <c r="A19" s="12">
        <v>2</v>
      </c>
      <c r="B19" s="27" t="s">
        <v>52</v>
      </c>
      <c r="C19" s="27" t="s">
        <v>53</v>
      </c>
      <c r="E19" s="27"/>
      <c r="F19" s="12" t="s">
        <v>54</v>
      </c>
      <c r="G19" s="35" t="s">
        <v>55</v>
      </c>
      <c r="H19" s="12" t="s">
        <v>56</v>
      </c>
    </row>
    <row r="20" spans="1:8" ht="15.75">
      <c r="A20" s="12">
        <v>3</v>
      </c>
      <c r="B20" s="27" t="s">
        <v>57</v>
      </c>
      <c r="C20" s="27" t="s">
        <v>58</v>
      </c>
      <c r="E20" s="27"/>
      <c r="F20" s="12" t="s">
        <v>49</v>
      </c>
      <c r="G20" s="35" t="s">
        <v>59</v>
      </c>
      <c r="H20" s="12" t="s">
        <v>60</v>
      </c>
    </row>
    <row r="21" spans="1:8" ht="15.75">
      <c r="A21" s="12">
        <v>4</v>
      </c>
      <c r="B21" s="27" t="s">
        <v>61</v>
      </c>
      <c r="C21" s="27" t="s">
        <v>62</v>
      </c>
      <c r="E21" s="27"/>
      <c r="F21" s="12" t="s">
        <v>63</v>
      </c>
      <c r="G21" s="35" t="s">
        <v>64</v>
      </c>
      <c r="H21" s="12" t="s">
        <v>65</v>
      </c>
    </row>
    <row r="22" spans="1:8" ht="15.75">
      <c r="A22" s="12">
        <v>5</v>
      </c>
      <c r="B22" s="27" t="s">
        <v>66</v>
      </c>
      <c r="C22" s="27" t="s">
        <v>67</v>
      </c>
      <c r="E22" s="27"/>
      <c r="F22" s="12" t="s">
        <v>68</v>
      </c>
      <c r="G22" s="35" t="s">
        <v>69</v>
      </c>
      <c r="H22" s="9" t="s">
        <v>70</v>
      </c>
    </row>
    <row r="23" spans="1:8" ht="15.75">
      <c r="A23" s="12">
        <v>6</v>
      </c>
      <c r="B23" s="27" t="s">
        <v>71</v>
      </c>
      <c r="C23" s="27" t="s">
        <v>72</v>
      </c>
      <c r="E23" s="27"/>
      <c r="F23" s="12" t="s">
        <v>63</v>
      </c>
      <c r="G23" s="35" t="s">
        <v>73</v>
      </c>
      <c r="H23" s="9" t="s">
        <v>74</v>
      </c>
    </row>
    <row r="24" spans="1:8" ht="15.75">
      <c r="A24" s="12">
        <v>7</v>
      </c>
      <c r="B24" s="27" t="s">
        <v>75</v>
      </c>
      <c r="C24" s="27" t="s">
        <v>76</v>
      </c>
      <c r="E24" s="27"/>
      <c r="F24" s="12" t="s">
        <v>77</v>
      </c>
      <c r="G24" s="34" t="s">
        <v>78</v>
      </c>
      <c r="H24" s="12" t="s">
        <v>79</v>
      </c>
    </row>
    <row r="25" spans="1:8" ht="15.75">
      <c r="A25" s="12">
        <v>8</v>
      </c>
      <c r="B25" s="27" t="s">
        <v>80</v>
      </c>
      <c r="C25" s="27" t="s">
        <v>81</v>
      </c>
      <c r="E25" s="27"/>
      <c r="F25" s="12" t="s">
        <v>82</v>
      </c>
      <c r="G25" s="34" t="s">
        <v>83</v>
      </c>
      <c r="H25" s="12" t="s">
        <v>84</v>
      </c>
    </row>
    <row r="26" spans="1:8" ht="15.75">
      <c r="A26" s="12">
        <v>9</v>
      </c>
      <c r="B26" s="27" t="s">
        <v>85</v>
      </c>
      <c r="C26" s="27" t="s">
        <v>86</v>
      </c>
      <c r="E26" s="27"/>
      <c r="F26" s="12" t="s">
        <v>82</v>
      </c>
      <c r="G26" s="34" t="s">
        <v>87</v>
      </c>
      <c r="H26" s="12" t="s">
        <v>88</v>
      </c>
    </row>
    <row r="27" spans="1:8" ht="15.75">
      <c r="A27" s="12">
        <v>10</v>
      </c>
      <c r="B27" s="27" t="s">
        <v>89</v>
      </c>
      <c r="C27" s="27" t="s">
        <v>90</v>
      </c>
      <c r="E27" s="27"/>
      <c r="F27" s="12" t="s">
        <v>82</v>
      </c>
      <c r="G27" s="34" t="s">
        <v>91</v>
      </c>
      <c r="H27" s="12" t="s">
        <v>92</v>
      </c>
    </row>
    <row r="28" spans="1:8" ht="15.75">
      <c r="A28" s="12">
        <v>11</v>
      </c>
      <c r="B28" s="27" t="s">
        <v>93</v>
      </c>
      <c r="C28" s="27" t="s">
        <v>94</v>
      </c>
      <c r="E28" s="27"/>
      <c r="F28" s="12" t="s">
        <v>82</v>
      </c>
      <c r="G28" s="34" t="s">
        <v>95</v>
      </c>
      <c r="H28" s="12" t="s">
        <v>96</v>
      </c>
    </row>
    <row r="29" spans="1:8" ht="15.75">
      <c r="A29" s="12">
        <v>12</v>
      </c>
      <c r="B29" s="27" t="s">
        <v>97</v>
      </c>
      <c r="C29" s="27" t="s">
        <v>98</v>
      </c>
      <c r="E29" s="27"/>
      <c r="F29" s="12" t="s">
        <v>99</v>
      </c>
      <c r="G29" s="34" t="s">
        <v>100</v>
      </c>
      <c r="H29" s="12" t="s">
        <v>101</v>
      </c>
    </row>
    <row r="30" spans="1:8" ht="15.75">
      <c r="A30" s="12">
        <v>13</v>
      </c>
      <c r="B30" s="27" t="s">
        <v>102</v>
      </c>
      <c r="C30" s="27" t="s">
        <v>103</v>
      </c>
      <c r="E30" s="27"/>
      <c r="F30" s="12" t="s">
        <v>104</v>
      </c>
      <c r="G30" s="34" t="s">
        <v>105</v>
      </c>
      <c r="H30" s="12" t="s">
        <v>106</v>
      </c>
    </row>
    <row r="31" spans="1:8" ht="15.75">
      <c r="A31" s="12">
        <v>14</v>
      </c>
      <c r="B31" s="27" t="s">
        <v>107</v>
      </c>
      <c r="C31" s="27" t="s">
        <v>108</v>
      </c>
      <c r="E31" s="27"/>
      <c r="F31" s="12" t="s">
        <v>104</v>
      </c>
      <c r="G31" s="34" t="s">
        <v>109</v>
      </c>
      <c r="H31" s="12" t="s">
        <v>110</v>
      </c>
    </row>
    <row r="32" spans="1:8" ht="15.75">
      <c r="A32" s="12">
        <v>15</v>
      </c>
      <c r="B32" s="27" t="s">
        <v>111</v>
      </c>
      <c r="C32" s="27" t="s">
        <v>112</v>
      </c>
      <c r="E32" s="27"/>
      <c r="F32" s="12" t="s">
        <v>77</v>
      </c>
      <c r="G32" s="34" t="s">
        <v>113</v>
      </c>
      <c r="H32" s="12" t="s">
        <v>114</v>
      </c>
    </row>
    <row r="33" spans="1:8" ht="15.75">
      <c r="A33" s="12">
        <v>16</v>
      </c>
      <c r="B33" s="27" t="s">
        <v>115</v>
      </c>
      <c r="C33" s="27" t="s">
        <v>116</v>
      </c>
      <c r="E33" s="27"/>
      <c r="F33" s="12" t="s">
        <v>77</v>
      </c>
      <c r="G33" s="34" t="s">
        <v>117</v>
      </c>
      <c r="H33" s="12" t="s">
        <v>118</v>
      </c>
    </row>
    <row r="34" spans="1:8" ht="15.75">
      <c r="A34" s="12">
        <v>17</v>
      </c>
      <c r="B34" s="27" t="s">
        <v>119</v>
      </c>
      <c r="C34" s="27" t="s">
        <v>120</v>
      </c>
      <c r="E34" s="27"/>
      <c r="F34" s="12" t="s">
        <v>77</v>
      </c>
      <c r="G34" s="34" t="s">
        <v>121</v>
      </c>
      <c r="H34" s="12" t="s">
        <v>122</v>
      </c>
    </row>
    <row r="35" spans="1:8" ht="15.75">
      <c r="A35" s="12">
        <v>18</v>
      </c>
      <c r="B35" s="27" t="s">
        <v>123</v>
      </c>
      <c r="C35" s="27" t="s">
        <v>124</v>
      </c>
      <c r="E35" s="27"/>
      <c r="F35" s="12" t="s">
        <v>125</v>
      </c>
      <c r="G35" s="34" t="s">
        <v>126</v>
      </c>
      <c r="H35" s="12" t="s">
        <v>127</v>
      </c>
    </row>
    <row r="36" spans="1:8" ht="15.75">
      <c r="A36" s="12">
        <v>19</v>
      </c>
      <c r="B36" s="27" t="s">
        <v>128</v>
      </c>
      <c r="C36" s="27" t="s">
        <v>129</v>
      </c>
      <c r="E36" s="27"/>
      <c r="F36" s="12" t="s">
        <v>130</v>
      </c>
      <c r="G36" s="34" t="s">
        <v>131</v>
      </c>
      <c r="H36" s="12" t="s">
        <v>132</v>
      </c>
    </row>
    <row r="37" spans="1:8" ht="15.75">
      <c r="A37" s="12">
        <v>20</v>
      </c>
      <c r="B37" s="27" t="s">
        <v>133</v>
      </c>
      <c r="C37" s="27" t="s">
        <v>134</v>
      </c>
      <c r="E37" s="27"/>
      <c r="F37" s="12" t="s">
        <v>77</v>
      </c>
      <c r="G37" s="34" t="s">
        <v>135</v>
      </c>
      <c r="H37" s="12" t="s">
        <v>136</v>
      </c>
    </row>
    <row r="38" spans="1:8" ht="15.75">
      <c r="A38" s="12">
        <v>21</v>
      </c>
      <c r="B38" s="27" t="s">
        <v>137</v>
      </c>
      <c r="C38" s="27" t="s">
        <v>138</v>
      </c>
      <c r="E38" s="27"/>
      <c r="F38" s="12" t="s">
        <v>77</v>
      </c>
      <c r="G38" s="34" t="s">
        <v>139</v>
      </c>
      <c r="H38" s="12" t="s">
        <v>140</v>
      </c>
    </row>
    <row r="39" spans="1:8" ht="15.75">
      <c r="A39" s="12">
        <v>22</v>
      </c>
      <c r="B39" s="27" t="s">
        <v>141</v>
      </c>
      <c r="C39" s="27" t="s">
        <v>142</v>
      </c>
      <c r="E39" s="27"/>
      <c r="F39" s="12" t="s">
        <v>143</v>
      </c>
      <c r="G39" s="34" t="s">
        <v>144</v>
      </c>
      <c r="H39" s="12" t="s">
        <v>145</v>
      </c>
    </row>
    <row r="40" spans="1:8" ht="15.75">
      <c r="A40" s="12">
        <v>23</v>
      </c>
      <c r="B40" s="27" t="s">
        <v>146</v>
      </c>
      <c r="C40" s="27" t="s">
        <v>147</v>
      </c>
      <c r="E40" s="27"/>
      <c r="F40" s="12" t="s">
        <v>148</v>
      </c>
      <c r="G40" s="34" t="s">
        <v>149</v>
      </c>
      <c r="H40" s="12" t="s">
        <v>150</v>
      </c>
    </row>
    <row r="41" spans="1:8" ht="15.75">
      <c r="A41" s="12">
        <v>24</v>
      </c>
      <c r="B41" s="27" t="s">
        <v>151</v>
      </c>
      <c r="C41" s="27" t="s">
        <v>152</v>
      </c>
      <c r="E41" s="27"/>
      <c r="F41" s="12" t="s">
        <v>99</v>
      </c>
      <c r="G41" s="34" t="s">
        <v>153</v>
      </c>
      <c r="H41" s="12" t="s">
        <v>154</v>
      </c>
    </row>
    <row r="42" spans="1:8" ht="15.75">
      <c r="A42" s="12">
        <v>25</v>
      </c>
      <c r="B42" s="27" t="s">
        <v>155</v>
      </c>
      <c r="C42" s="27" t="s">
        <v>156</v>
      </c>
      <c r="E42" s="27"/>
      <c r="F42" s="12" t="s">
        <v>157</v>
      </c>
      <c r="G42" s="34" t="s">
        <v>158</v>
      </c>
      <c r="H42" s="12" t="s">
        <v>159</v>
      </c>
    </row>
    <row r="43" spans="1:8" ht="15.75">
      <c r="A43" s="12">
        <v>26</v>
      </c>
      <c r="B43" s="27" t="s">
        <v>160</v>
      </c>
      <c r="C43" s="27" t="s">
        <v>161</v>
      </c>
      <c r="E43" s="27"/>
      <c r="F43" s="12" t="s">
        <v>162</v>
      </c>
      <c r="G43" s="34" t="s">
        <v>163</v>
      </c>
      <c r="H43" s="12" t="s">
        <v>164</v>
      </c>
    </row>
    <row r="44" spans="1:8" ht="15.75">
      <c r="A44" s="12">
        <v>27</v>
      </c>
      <c r="B44" s="27" t="s">
        <v>165</v>
      </c>
      <c r="C44" s="27" t="s">
        <v>166</v>
      </c>
      <c r="E44" s="27"/>
      <c r="F44" s="12" t="s">
        <v>77</v>
      </c>
      <c r="G44" s="34" t="s">
        <v>167</v>
      </c>
      <c r="H44" s="12" t="s">
        <v>168</v>
      </c>
    </row>
    <row r="45" spans="1:8" ht="15.75">
      <c r="A45" s="12"/>
      <c r="B45" s="27"/>
      <c r="C45" s="27"/>
      <c r="E45" s="27"/>
      <c r="G45" s="34"/>
    </row>
    <row r="46" spans="1:8">
      <c r="A46" s="12"/>
    </row>
    <row r="47" spans="1:8">
      <c r="A47" s="12"/>
    </row>
    <row r="48" spans="1:8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topLeftCell="B4" zoomScaleNormal="100" workbookViewId="0" xr3:uid="{842E5F09-E766-5B8D-85AF-A39847EA96FD}">
      <selection activeCell="E4" sqref="E4"/>
    </sheetView>
  </sheetViews>
  <sheetFormatPr defaultColWidth="8.85546875" defaultRowHeight="15"/>
  <cols>
    <col min="1" max="1" width="8" style="21" bestFit="1" customWidth="1"/>
    <col min="2" max="2" width="10.85546875" style="21" customWidth="1"/>
    <col min="3" max="3" width="10" style="21" bestFit="1" customWidth="1"/>
    <col min="4" max="4" width="39.5703125" style="21" bestFit="1" customWidth="1"/>
    <col min="5" max="5" width="67.7109375" style="21" customWidth="1"/>
    <col min="6" max="16384" width="8.85546875" style="21"/>
  </cols>
  <sheetData>
    <row r="1" spans="1:5">
      <c r="A1" s="20"/>
      <c r="B1" s="20" t="s">
        <v>169</v>
      </c>
      <c r="C1" s="30" t="str">
        <f>+"http://10.11.62.82:28080/IRIS/api/v1.0.0/party/"&amp;Spec!$C$1</f>
        <v>http://10.11.62.82:28080/IRIS/api/v1.0.0/party/ED0013</v>
      </c>
      <c r="E1" s="19"/>
    </row>
    <row r="2" spans="1:5">
      <c r="A2" s="19"/>
      <c r="B2" s="19" t="s">
        <v>170</v>
      </c>
      <c r="C2" s="30" t="str">
        <f>+"http://10.11.62.82:58080/IRIS/api/v1.0.0/party/"&amp;Spec!$C$1</f>
        <v>http://10.11.62.82:58080/IRIS/api/v1.0.0/party/ED0013</v>
      </c>
      <c r="E2" s="19"/>
    </row>
    <row r="3" spans="1:5">
      <c r="B3" s="22" t="s">
        <v>171</v>
      </c>
      <c r="C3" s="23" t="s">
        <v>172</v>
      </c>
      <c r="D3" s="23" t="s">
        <v>173</v>
      </c>
      <c r="E3" s="24" t="s">
        <v>174</v>
      </c>
    </row>
    <row r="4" spans="1:5" ht="409.6">
      <c r="B4" s="25" t="s">
        <v>175</v>
      </c>
      <c r="C4" s="25"/>
      <c r="D4" s="26" t="s">
        <v>176</v>
      </c>
      <c r="E4" s="29" t="s">
        <v>177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CFCE013A-7D7A-4F55-A700-BD2351CAAB6C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2024-11-01T02:20:23Z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