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D:\新網銀專案\"/>
    </mc:Choice>
  </mc:AlternateContent>
  <xr:revisionPtr revIDLastSave="0" documentId="13_ncr:1_{8A58E818-2966-44A3-92AA-44DAD9334708}" xr6:coauthVersionLast="44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修改歷程" sheetId="1" r:id="rId1"/>
    <sheet name="規格" sheetId="2" r:id="rId2"/>
    <sheet name="JSON Request-Respon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2" l="1"/>
  <c r="C3" i="2" l="1"/>
  <c r="C2" i="3"/>
  <c r="C1" i="3"/>
</calcChain>
</file>

<file path=xl/sharedStrings.xml><?xml version="1.0" encoding="utf-8"?>
<sst xmlns="http://schemas.openxmlformats.org/spreadsheetml/2006/main" count="390" uniqueCount="308">
  <si>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</si>
  <si>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</si>
  <si>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</si>
  <si>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</si>
  <si>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</si>
  <si>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</si>
  <si>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</si>
  <si>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</si>
  <si>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</si>
  <si>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URL</t>
  </si>
  <si>
    <t>GET</t>
  </si>
  <si>
    <t>ENQ</t>
  </si>
  <si>
    <t>SELECTION</t>
  </si>
  <si>
    <t>OPERAND</t>
  </si>
  <si>
    <t>No</t>
  </si>
  <si>
    <t>Field name</t>
  </si>
  <si>
    <t>API Vocabalary</t>
  </si>
  <si>
    <t>Single Multi</t>
  </si>
  <si>
    <t>Length</t>
  </si>
  <si>
    <t>Response json</t>
  </si>
  <si>
    <t xml:space="preserve">Notice：
</t>
    <phoneticPr fontId="3" type="noConversion"/>
  </si>
  <si>
    <t>API_Vocabalary</t>
    <phoneticPr fontId="3" type="noConversion"/>
  </si>
  <si>
    <t>ENQ / TXN / AAA</t>
    <phoneticPr fontId="3" type="noConversion"/>
  </si>
  <si>
    <t>Header</t>
    <phoneticPr fontId="3" type="noConversion"/>
  </si>
  <si>
    <t>ENQUIRY ID</t>
    <phoneticPr fontId="3" type="noConversion"/>
  </si>
  <si>
    <t>COMMENTS</t>
    <phoneticPr fontId="3" type="noConversion"/>
  </si>
  <si>
    <t>Field Description</t>
    <phoneticPr fontId="3" type="noConversion"/>
  </si>
  <si>
    <t>METHOD (GET/POST/PUT/DELETE)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</si>
  <si>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</si>
  <si>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</si>
  <si>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</si>
  <si>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GET</t>
    <phoneticPr fontId="3" type="noConversion"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</si>
  <si>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</si>
  <si>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</si>
  <si>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r>
      <t xml:space="preserve">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Microsoft JhengHei Light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Microsoft JhengHei Light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Microsoft JhengHei Light"/>
        <family val="2"/>
        <charset val="136"/>
      </rPr>
      <t>密碼</t>
    </r>
    <phoneticPr fontId="3" type="noConversion"/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</si>
  <si>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</si>
  <si>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</si>
  <si>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</si>
  <si>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</si>
  <si>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</si>
  <si>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t>Original ENQUIRY ID</t>
    <phoneticPr fontId="3" type="noConversion"/>
  </si>
  <si>
    <t>NETBANK</t>
    <phoneticPr fontId="3" type="noConversion"/>
  </si>
  <si>
    <t>MOBILE</t>
    <phoneticPr fontId="3" type="noConversion"/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</si>
  <si>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</si>
  <si>
    <t>欄位說明(中文)</t>
    <phoneticPr fontId="3" type="noConversion"/>
  </si>
  <si>
    <t>欄位說明(英文)</t>
    <phoneticPr fontId="3" type="noConversion"/>
  </si>
  <si>
    <t>ED0011</t>
    <phoneticPr fontId="3" type="noConversion"/>
  </si>
  <si>
    <t>專案代號查詢</t>
    <phoneticPr fontId="3" type="noConversion"/>
  </si>
  <si>
    <t>TMB.VR.AC.MAP.ENQ</t>
    <phoneticPr fontId="3" type="noConversion"/>
  </si>
  <si>
    <t>VR.AC.MAP.CODE</t>
  </si>
  <si>
    <t>VR.AC.REAL.AC</t>
  </si>
  <si>
    <t>EnqVrAcRealAc</t>
  </si>
  <si>
    <t>EQ</t>
  </si>
  <si>
    <t>VR.AC.MAP.DESC</t>
  </si>
  <si>
    <t>EnqVrAcMapDesc</t>
  </si>
  <si>
    <t>EnqVrOutDir</t>
  </si>
  <si>
    <t>VR.OUT.NAME</t>
  </si>
  <si>
    <t>EnqVrOutName</t>
  </si>
  <si>
    <t>EnqVrAcMapCode</t>
    <phoneticPr fontId="3" type="noConversion"/>
  </si>
  <si>
    <t>RG</t>
    <phoneticPr fontId="3" type="noConversion"/>
  </si>
  <si>
    <t>EQ</t>
    <phoneticPr fontId="3" type="noConversion"/>
  </si>
  <si>
    <t>LK</t>
    <phoneticPr fontId="3" type="noConversion"/>
  </si>
  <si>
    <t>E.TI.OPT.FMT</t>
  </si>
  <si>
    <t>E.END.DATE</t>
  </si>
  <si>
    <t>E.STOP.FLG</t>
  </si>
  <si>
    <t>E.REAL.ACCT.CONV</t>
  </si>
  <si>
    <t>E.DEF.ACCT.CONV</t>
  </si>
  <si>
    <t>E.APP.DATE</t>
  </si>
  <si>
    <t>E.MAP.FLG</t>
  </si>
  <si>
    <t>E.ACCHK.RTN</t>
  </si>
  <si>
    <t>E.MEMO</t>
  </si>
  <si>
    <t>E.SRT.TIME</t>
  </si>
  <si>
    <t>E.UPD.LOG.FLG</t>
  </si>
  <si>
    <t>E.POST.LOG.RTN</t>
  </si>
  <si>
    <t>E.CHNN.CODE</t>
  </si>
  <si>
    <t>E.VR.AC.SKIP</t>
  </si>
  <si>
    <t>E.TRLAG.ACCT</t>
  </si>
  <si>
    <t>E.FUT.ENQ.TYPE</t>
  </si>
  <si>
    <t>E.DEF.REAL.CUR</t>
  </si>
  <si>
    <t>E.MNTAIN.FEE</t>
  </si>
  <si>
    <t>E.PROCESS.FEE</t>
  </si>
  <si>
    <t>E.END.DATE.TIME</t>
  </si>
  <si>
    <t>E.CHNN.SETUP</t>
  </si>
  <si>
    <t>E.CHNN.FEE</t>
  </si>
  <si>
    <t>E.CHNN.TXT</t>
  </si>
  <si>
    <t>E.CHNN.CSV</t>
  </si>
  <si>
    <t>E.COLL.BUS.MAIN</t>
  </si>
  <si>
    <t>E.COLL.BUS.SUB</t>
  </si>
  <si>
    <t>E.EST.MON.AMT</t>
  </si>
  <si>
    <t>E.EST.MON.CNT</t>
  </si>
  <si>
    <t>E.COLL.FLU.PER</t>
  </si>
  <si>
    <t>E.CUST.MON.REV</t>
  </si>
  <si>
    <t>E.REF.STAFF.NO</t>
  </si>
  <si>
    <t>EnqEAcMapCurr</t>
  </si>
  <si>
    <t>EnqECurrRealAcct</t>
  </si>
  <si>
    <t>EnqEAcctTitle1</t>
  </si>
  <si>
    <t>EnqECurrAmtChk</t>
  </si>
  <si>
    <t>EnqECurrAmtMax</t>
  </si>
  <si>
    <t>EnqECurrAmtMin</t>
  </si>
  <si>
    <t>EnqECurrAmtDupFlg</t>
  </si>
  <si>
    <t>EnqEDefRealAcct</t>
  </si>
  <si>
    <t>EnqEDefAcctTitle1</t>
  </si>
  <si>
    <t>EnqETiFaxFlg</t>
  </si>
  <si>
    <t>EnqETiFaxNo</t>
  </si>
  <si>
    <t>EnqETiEmailFlg</t>
  </si>
  <si>
    <t>EnqETiEmailAddr</t>
  </si>
  <si>
    <t>EnqETiOptFmt</t>
  </si>
  <si>
    <t>EnqEEndDate</t>
  </si>
  <si>
    <t>EnqEStopFlg</t>
  </si>
  <si>
    <t>EnqERealAcctConv</t>
  </si>
  <si>
    <t>EnqERptFrq</t>
  </si>
  <si>
    <t>EnqEDefAcctConv</t>
  </si>
  <si>
    <t>EnqEAppDate</t>
  </si>
  <si>
    <t>EnqEMapFlg</t>
  </si>
  <si>
    <t>EnqEAcchkRtn</t>
  </si>
  <si>
    <t>EnqESrtTime</t>
  </si>
  <si>
    <t>EnqEEndTime</t>
  </si>
  <si>
    <t>EnqEUpdLogFlg</t>
  </si>
  <si>
    <t>EnqETxnDateLogLin</t>
  </si>
  <si>
    <t>EnqEChnnCode</t>
  </si>
  <si>
    <t>EnqEVrAcSkip</t>
  </si>
  <si>
    <t>EnqETrlagAcct</t>
  </si>
  <si>
    <t>EnqEFutEnqType</t>
  </si>
  <si>
    <t>EnqEDefRptFrq</t>
  </si>
  <si>
    <t>EnqEDefRealCur</t>
  </si>
  <si>
    <t>EnqEPadAcct</t>
  </si>
  <si>
    <t>EnqEPadAcctCurr</t>
  </si>
  <si>
    <t>EnqEMntainFee</t>
  </si>
  <si>
    <t>EnqEProcessFee</t>
  </si>
  <si>
    <t>EnqEChnnSetup</t>
  </si>
  <si>
    <t>EnqEChnnFee</t>
  </si>
  <si>
    <t>EnqEChnnPack</t>
  </si>
  <si>
    <t>EnqEChnnTxt</t>
  </si>
  <si>
    <t>EnqEChnnCsv</t>
  </si>
  <si>
    <t>EnqECollBusMain</t>
  </si>
  <si>
    <t>EnqECollBusSub</t>
  </si>
  <si>
    <t>EnqEEstMonAmt</t>
  </si>
  <si>
    <t>EnqEEstMonCnt</t>
  </si>
  <si>
    <t>EnqECollFluPer</t>
  </si>
  <si>
    <t>EnqECustMonRev</t>
  </si>
  <si>
    <t>EnqEAcMapCode</t>
    <phoneticPr fontId="3" type="noConversion"/>
  </si>
  <si>
    <t>EnqEAcMapDesc</t>
    <phoneticPr fontId="3" type="noConversion"/>
  </si>
  <si>
    <t>EnqVrAcMapCode:301</t>
    <phoneticPr fontId="3" type="noConversion"/>
  </si>
  <si>
    <r>
      <t>{
  "header": {
    "audit": {
      "T24_time": 94,
      "parse_time": 0
    },
    "page_start": 1,
    "page_token": "4164362515.01,99",
    "total_size": 1,
    "page_size": 99,
    "status": "success"
  },
  "body": [
    {
      "EnqEAcMapCode": "301",
      "EnqEDefAcctConv": "TMBI.C.VR.MAC.MAP.S",
      "EnqEAppDate": "20160912",
      "EnqEUpdLogFlg": "Y",
      "EnqEAcMapDesc": "OB-Fee111",
      "EnqEDefAcctTitle1":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2198165",
      "EnqEDefRealCur": "USD EUR",
      "EnqEDefRealAcct": "02000800025401",
      "EnqEProcessFee": "0",
      "EnqEPadAcctCurr": "USD",
      "EnqEChnnSetup": "</t>
    </r>
    <r>
      <rPr>
        <sz val="11"/>
        <color theme="1"/>
        <rFont val="微軟正黑體"/>
        <family val="2"/>
        <charset val="136"/>
      </rPr>
      <t>超商</t>
    </r>
    <r>
      <rPr>
        <sz val="11"/>
        <color theme="1"/>
        <rFont val="Calibri"/>
        <family val="2"/>
      </rPr>
      <t>~~",
      "EnqEEndDate": "20180112",
      "EnqEChnnCode": "BRANCH~FCS~PFS~CHQCRD",
      "EnqEChnnFee": "0~~",
      "EnqEChnnCsv": "N~N~N",
      "EnqEPadAcct": "02000800025401",
      "EnqEMntainFee": "0",
      "EnqEChnnPack": "Y~N~N",
      "EnqEChnnTxt": "Y~N~N"
    }
  ]
}</t>
    </r>
    <phoneticPr fontId="3" type="noConversion"/>
  </si>
  <si>
    <t>蕭筑云</t>
    <phoneticPr fontId="3" type="noConversion"/>
  </si>
  <si>
    <t>E.AC.MAP.CODE</t>
    <phoneticPr fontId="3" type="noConversion"/>
  </si>
  <si>
    <t>15L</t>
  </si>
  <si>
    <t>E.AC.MAP.DESC</t>
    <phoneticPr fontId="3" type="noConversion"/>
  </si>
  <si>
    <t>65L</t>
  </si>
  <si>
    <t>E.AC.MAP.CURR</t>
    <phoneticPr fontId="3" type="noConversion"/>
  </si>
  <si>
    <t>3L</t>
  </si>
  <si>
    <t>E.CURR.REAL.ACCT</t>
    <phoneticPr fontId="3" type="noConversion"/>
  </si>
  <si>
    <t>25L</t>
  </si>
  <si>
    <t>E.ACCT.TITLE.1</t>
    <phoneticPr fontId="3" type="noConversion"/>
  </si>
  <si>
    <t>35L</t>
  </si>
  <si>
    <t>35L</t>
    <phoneticPr fontId="3" type="noConversion"/>
  </si>
  <si>
    <t>E.CURR.AMT.CHK</t>
    <phoneticPr fontId="3" type="noConversion"/>
  </si>
  <si>
    <t>E.CURR.AMT.MAX</t>
    <phoneticPr fontId="3" type="noConversion"/>
  </si>
  <si>
    <t>19R</t>
  </si>
  <si>
    <t>E.CURR.AMT.MIN</t>
    <phoneticPr fontId="3" type="noConversion"/>
  </si>
  <si>
    <t>E.CURR.AMT.DUP.FLG</t>
    <phoneticPr fontId="3" type="noConversion"/>
  </si>
  <si>
    <t>1L</t>
  </si>
  <si>
    <t>E.DEF.REAL.ACCT</t>
    <phoneticPr fontId="3" type="noConversion"/>
  </si>
  <si>
    <t>E.DEF.ACCT.TITLE.1</t>
    <phoneticPr fontId="3" type="noConversion"/>
  </si>
  <si>
    <t>E.TI.FAX.FLG</t>
    <phoneticPr fontId="3" type="noConversion"/>
  </si>
  <si>
    <t xml:space="preserve">1L </t>
    <phoneticPr fontId="3" type="noConversion"/>
  </si>
  <si>
    <t>E.TI.FAX.NO</t>
    <phoneticPr fontId="3" type="noConversion"/>
  </si>
  <si>
    <t>16L</t>
    <phoneticPr fontId="3" type="noConversion"/>
  </si>
  <si>
    <t>E.TI.EMAIL.FLG</t>
    <phoneticPr fontId="3" type="noConversion"/>
  </si>
  <si>
    <t>1L</t>
    <phoneticPr fontId="3" type="noConversion"/>
  </si>
  <si>
    <t>E.TI.EMAIL.ADDR</t>
    <phoneticPr fontId="3" type="noConversion"/>
  </si>
  <si>
    <t>60L</t>
  </si>
  <si>
    <t>20L</t>
  </si>
  <si>
    <t>11R</t>
  </si>
  <si>
    <t>11R</t>
    <phoneticPr fontId="3" type="noConversion"/>
  </si>
  <si>
    <t>E.RPT.FRQ</t>
    <phoneticPr fontId="3" type="noConversion"/>
  </si>
  <si>
    <t>6R</t>
  </si>
  <si>
    <t>E.END.TIME</t>
    <phoneticPr fontId="3" type="noConversion"/>
  </si>
  <si>
    <t>EnqVrAcMapDesc2</t>
    <phoneticPr fontId="3" type="noConversion"/>
  </si>
  <si>
    <t>EnqVrAcMapCode2</t>
    <phoneticPr fontId="3" type="noConversion"/>
  </si>
  <si>
    <t>14L</t>
  </si>
  <si>
    <t>E.DEF.RPT.FRQ</t>
    <phoneticPr fontId="3" type="noConversion"/>
  </si>
  <si>
    <t>E.PAD.ACCT</t>
    <phoneticPr fontId="3" type="noConversion"/>
  </si>
  <si>
    <t>E.PAD.ACCT.CURR</t>
    <phoneticPr fontId="3" type="noConversion"/>
  </si>
  <si>
    <t>4L</t>
  </si>
  <si>
    <t>6L</t>
  </si>
  <si>
    <t>10L</t>
  </si>
  <si>
    <t>E.CHNN.PACK</t>
    <phoneticPr fontId="3" type="noConversion"/>
  </si>
  <si>
    <t>2L</t>
  </si>
  <si>
    <t>15R</t>
  </si>
  <si>
    <t>EnqVrAcMapCode2:319 320</t>
    <phoneticPr fontId="3" type="noConversion"/>
  </si>
  <si>
    <r>
      <t>{
  "header": {
    "audit": {
      "T24_time": 96,
      "parse_time": 0
    },
    "page_start": 1,
    "page_token": "2822833217.01,99",
    "total_size": 2,
    "page_size": 99,
    "status": "success"
  },
  "body": [
    {
      "EnqEStopFlg": "Y",
      "EnqEAcMapCode": "319",
      "EnqETiEmailAddr": "hg285hg@yahoo.com.tw",
      "EnqEAppDate": "20110101",
      "EnqEUpdLogFlg": "Y",
      "EnqEDefRptFrq": "D01",
      "EnqEAcMapDesc": "</t>
    </r>
    <r>
      <rPr>
        <sz val="11"/>
        <color theme="1"/>
        <rFont val="微軟正黑體"/>
        <family val="2"/>
        <charset val="136"/>
      </rPr>
      <t>宏國大鎮</t>
    </r>
    <r>
      <rPr>
        <sz val="11"/>
        <color theme="1"/>
        <rFont val="Calibri"/>
        <family val="2"/>
      </rPr>
      <t>",
      "EnqEProcessFee": "0",
      "EnqEEndTime": "240000",
      "EnqEEndDate": "99991231",
      "EnqETiEmailFlg": "Y",
      "EnqEChnnCode": "ATM~WEBATM~FISC~FCS~CHQCRD~IVR~FCS~CHQCRD~RM~FCS~CHQCRD~BRANCH~FCS~CHQCRD~FEDI~FXMLIN~FCS~CHQCRD~MMAB2B~MMAB2C~NETBANK~MOBILBANK~EAINET~SINOPAY~SINOCARD~FCS~CHQCRD~MDAWHO",
      "EnqEAcchkRtn": "TMB.C.VR.AC.BSP.NOR.S",
      "EnqEPadAcct": "12500100205418",
      "EnqEMntainFee": "0"
    },
    {
      "EnqEStopFlg": "Y",
      "EnqEAcMapCode": "320",
      "EnqETiEmailAddr": "betty_tsen@xpecartcenter.com",
      "EnqEAppDate": "20160426",
      "EnqEUpdLogFlg": "Y",
      "EnqEDefRptFrq": "D01",
      "EnqEAcMapDesc": "</t>
    </r>
    <r>
      <rPr>
        <sz val="11"/>
        <color theme="1"/>
        <rFont val="微軟正黑體"/>
        <family val="2"/>
        <charset val="136"/>
      </rPr>
      <t>股款代收</t>
    </r>
    <r>
      <rPr>
        <sz val="11"/>
        <color theme="1"/>
        <rFont val="Calibri"/>
        <family val="2"/>
      </rPr>
      <t>",
      "EnqEProcessFee": "3",
      "EnqEPadAcctCurr": "TWD",
      "EnqEChnnSetup": "~~",
      "EnqEEndDate": "29101231",
      "EnqETiEmailFlg": "Y",
      "EnqEChnnCode": "BRANCH~FCS~PFS~CHQCRD~RM~FCS~PFS~CHQCRD~ATM~WEBATM~FISC~FCS~PFS~CHQCRD~IVR~FEDI~FXMLIN~MMAB2B~MMAB2C~NETBANK~MOBILBANK~EAINET~SINOPAY~SINOCARD~FUNCASH~MDAWHO",
      "EnqETiFaxNo": "0000000000",
      "EnqEChnnFee": "~~",
      "EnqEChnnCsv": "N~N~N",
      "EnqEPadAcct": "14801800027066",
      "EnqEMntainFee": "100",
      "EnqEChnnPack": "N~N~N",
      "EnqEChnnTxt": "N~N~N"
    }
  ]
}</t>
    </r>
    <phoneticPr fontId="3" type="noConversion"/>
  </si>
  <si>
    <r>
      <t>{
  "header": {
    "audit": {
      "T24_time": 241,
      "parse_time": 0
    },
    "page_start": 1,
    "page_token": "3935533624.01,99",
    "total_size": 1,
    "page_size": 99,
    "status": "success"
  },
  "body": [
    {
      "EnqEAcMapCode": "997158",
      "EnqEAppDate": "20160621",
      "EnqEUpdLogFlg": "Y",
      "EnqEAcMapCurr": "TWD",
      "EnqEDefRptFrq": "D01",
      "EnqEAcMapDesc": "</t>
    </r>
    <r>
      <rPr>
        <sz val="11"/>
        <color theme="1"/>
        <rFont val="微軟正黑體"/>
        <family val="2"/>
        <charset val="136"/>
      </rPr>
      <t>管理費</t>
    </r>
    <r>
      <rPr>
        <sz val="11"/>
        <color theme="1"/>
        <rFont val="Calibri"/>
        <family val="2"/>
      </rPr>
      <t>",
      "EnqEProcessFee": "0",
      "EnqECurrRealAcct": "01201800050008",
      "EnqEPadAcctCurr": "TWD",
      "EnqEChnnSetup": "</t>
    </r>
    <r>
      <rPr>
        <sz val="11"/>
        <color theme="1"/>
        <rFont val="微軟正黑體"/>
        <family val="2"/>
        <charset val="136"/>
      </rPr>
      <t>超商</t>
    </r>
    <r>
      <rPr>
        <sz val="11"/>
        <color theme="1"/>
        <rFont val="Calibri"/>
        <family val="2"/>
      </rPr>
      <t>~</t>
    </r>
    <r>
      <rPr>
        <sz val="11"/>
        <color theme="1"/>
        <rFont val="微軟正黑體"/>
        <family val="2"/>
        <charset val="136"/>
      </rPr>
      <t>農漁</t>
    </r>
    <r>
      <rPr>
        <sz val="11"/>
        <color theme="1"/>
        <rFont val="Calibri"/>
        <family val="2"/>
      </rPr>
      <t>~",
      "EnqEEndDate": "29101231",
      "EnqEAcctTitle1":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40881",
      "EnqEChnnCode": "BRANCH~FCS~PFS~CHQCRD~RM~FCS~PFS~CHQCRD~ATM~WEBATM~FISC~FCS~PFS~CHQCRD~IVR~FEDI~FXMLIN~MMAB2B~MMAB2C~NETBANK~MOBILBANK~EAINET~SINOPAY~SINOCARD~FUNCASH~FCS~MDAWHO",
      "EnqETiFaxNo": "0000000000",
      "EnqEChnnFee": "0~0~",
      "EnqEChnnCsv": "N~N~N",
      "EnqEPadAcct": "01201800050008",
      "EnqEMntainFee": "300",
      "EnqEChnnPack": "Y~Y~N",
      "EnqEChnnTxt": "N~Y~N"
    }
  ]
}</t>
    </r>
    <phoneticPr fontId="3" type="noConversion"/>
  </si>
  <si>
    <r>
      <t>EnqVrAcRealAc:</t>
    </r>
    <r>
      <rPr>
        <sz val="11"/>
        <rFont val="Consolas"/>
        <family val="3"/>
      </rPr>
      <t>01201800050008</t>
    </r>
    <phoneticPr fontId="3" type="noConversion"/>
  </si>
  <si>
    <t>VR.OUT.DIR</t>
    <phoneticPr fontId="3" type="noConversion"/>
  </si>
  <si>
    <t>{
  "header": {
    "audit": {
      "T24_time": 3135,
      "parse_time": 0
    },
    "page_start": 1,
    "page_token": "5445436812.01,99",
    "total_size": 1,
    "page_size": 99,
    "status": "success"
  },
  "body": [
    {
      "EnqEAcMapCode": "FILE UPDATE SUCCESSFUL"
    }
  ]
}</t>
    <phoneticPr fontId="3" type="noConversion"/>
  </si>
  <si>
    <t>EnqVrOutDir:INT01.FCSOUT
EnqVrOutName:AMAPDTL-AllC.TXT</t>
    <phoneticPr fontId="3" type="noConversion"/>
  </si>
  <si>
    <t>EnqVrAcMapCode:313
EnqVrAcRealAc:02101800030828</t>
    <phoneticPr fontId="3" type="noConversion"/>
  </si>
  <si>
    <r>
      <t>{
  "header": {
    "audit": {
      "T24_time": 53,
      "parse_time": 0
    },
    "page_start": 1,
    "page_token": "5445437120.01,99",
    "total_size": 1,
    "page_size": 99,
    "status": "success"
  },
  "body": [
    {
      "EnqEAcMapCode": "313",
      "EnqETiEmailAddr": "abby.hung@epsmaterial.com,mey.lin@ftsi.com.tw,joan",
      "EnqEAppDate": "20161015",
      "EnqEUpdLogFlg": "Y",
      "EnqEAcMapCurr": "TWD",
      "EnqEDefRptFrq": "D01",
      "EnqEAcMapDesc": "</t>
    </r>
    <r>
      <rPr>
        <sz val="11"/>
        <color theme="1"/>
        <rFont val="微軟正黑體"/>
        <family val="2"/>
        <charset val="136"/>
      </rPr>
      <t>股款代收</t>
    </r>
    <r>
      <rPr>
        <sz val="11"/>
        <color theme="1"/>
        <rFont val="Calibri"/>
        <family val="2"/>
      </rPr>
      <t>",
      "EnqEProcessFee": "5",
      "EnqECurrRealAcct": "02101800030828",
      "EnqEPadAcctCurr": "TWD",
      "EnqEChnnSetup": "~~",
      "EnqEEndDate": "29101231",
      "EnqEAcctTitle1": "</t>
    </r>
    <r>
      <rPr>
        <sz val="11"/>
        <color theme="1"/>
        <rFont val="微軟正黑體"/>
        <family val="2"/>
        <charset val="136"/>
      </rPr>
      <t>中文姓名</t>
    </r>
    <r>
      <rPr>
        <sz val="11"/>
        <color theme="1"/>
        <rFont val="Calibri"/>
        <family val="2"/>
      </rPr>
      <t>3421903",
      "EnqETiEmailFlg": "Y",
      "EnqEChnnCode": "BRANCH~FCS~PFS~CHQCRD~RM~FCS~PFS~CHQCRD~ATM~WEBATM~FISC~FCS~PFS~CHQCRD~IVR~FEDI~FXMLIN~MMAB2B~MMAB2C~NETBANK~MOBILBANK~EAINET~SINOPAY~SINOCARD~FUNCASH~MDAWHO",
      "EnqEMapFlg": "Y",
      "EnqETiFaxNo": "0000000000",
      "EnqEChnnFee": "~~",
      "EnqEChnnCsv": "N~N~N",
      "EnqEPadAcct": "02101800030828",
      "EnqEMntainFee": "0",
      "EnqEChnnPack": "N~N~N",
      "EnqECurrAmtDupFlg": "Y",
      "EnqEChnnTxt": "N~N~N"
    }
  ]
}</t>
    </r>
    <phoneticPr fontId="3" type="noConversion"/>
  </si>
  <si>
    <t>專案代號</t>
    <phoneticPr fontId="27" type="noConversion"/>
  </si>
  <si>
    <t>專案名稱</t>
    <phoneticPr fontId="28" type="noConversion"/>
  </si>
  <si>
    <t>幣別</t>
    <phoneticPr fontId="27" type="noConversion"/>
  </si>
  <si>
    <t>帳戶名稱</t>
    <phoneticPr fontId="27" type="noConversion"/>
  </si>
  <si>
    <t>繳款金額檢核方式</t>
    <phoneticPr fontId="27" type="noConversion"/>
  </si>
  <si>
    <t>繳款金額上限</t>
    <phoneticPr fontId="27" type="noConversion"/>
  </si>
  <si>
    <r>
      <rPr>
        <sz val="10"/>
        <rFont val="細明體"/>
        <family val="3"/>
        <charset val="136"/>
      </rPr>
      <t>繳款金額下限</t>
    </r>
    <r>
      <rPr>
        <sz val="10"/>
        <rFont val="Verdana"/>
        <family val="2"/>
      </rPr>
      <t>/</t>
    </r>
    <r>
      <rPr>
        <sz val="10"/>
        <rFont val="細明體"/>
        <family val="3"/>
        <charset val="136"/>
      </rPr>
      <t>固定金額</t>
    </r>
    <phoneticPr fontId="27" type="noConversion"/>
  </si>
  <si>
    <t>外幣組存專案帳號</t>
    <phoneticPr fontId="27" type="noConversion"/>
  </si>
  <si>
    <t>外幣組存帳號戶名</t>
    <phoneticPr fontId="27" type="noConversion"/>
  </si>
  <si>
    <t>傳真電話</t>
    <phoneticPr fontId="27" type="noConversion"/>
  </si>
  <si>
    <t>往來明細提供周期</t>
    <phoneticPr fontId="27" type="noConversion"/>
  </si>
  <si>
    <t>銷帳編號檢核</t>
    <phoneticPr fontId="27" type="noConversion"/>
  </si>
  <si>
    <t>代收業務主分類</t>
  </si>
  <si>
    <t>代收業務次分類</t>
  </si>
  <si>
    <t>預計每月代收金額</t>
  </si>
  <si>
    <t>預計每月代收筆數</t>
  </si>
  <si>
    <t>每月收款量業務波動百分比</t>
  </si>
  <si>
    <t>客戶每月營收(收入)</t>
  </si>
  <si>
    <t>轉介員工編號</t>
  </si>
  <si>
    <t>專案實際入帳帳號</t>
    <phoneticPr fontId="27" type="noConversion"/>
  </si>
  <si>
    <t>EMAIL</t>
    <phoneticPr fontId="27" type="noConversion"/>
  </si>
  <si>
    <t>凍結狀態</t>
    <phoneticPr fontId="27" type="noConversion"/>
  </si>
  <si>
    <t>Currency</t>
    <phoneticPr fontId="3" type="noConversion"/>
  </si>
  <si>
    <t>Project ID</t>
    <phoneticPr fontId="3" type="noConversion"/>
  </si>
  <si>
    <t>Project Name</t>
    <phoneticPr fontId="3" type="noConversion"/>
  </si>
  <si>
    <t>Amount Verification</t>
    <phoneticPr fontId="3" type="noConversion"/>
  </si>
  <si>
    <t>Maximum</t>
    <phoneticPr fontId="3" type="noConversion"/>
  </si>
  <si>
    <t>Minimum/Fixed Amount</t>
    <phoneticPr fontId="3" type="noConversion"/>
  </si>
  <si>
    <t>傳真服務註記</t>
    <phoneticPr fontId="27" type="noConversion"/>
  </si>
  <si>
    <t>授扣帳號</t>
    <phoneticPr fontId="3" type="noConversion"/>
  </si>
  <si>
    <t>授扣幣別</t>
    <phoneticPr fontId="3" type="noConversion"/>
  </si>
  <si>
    <t>維護費用</t>
    <phoneticPr fontId="3" type="noConversion"/>
  </si>
  <si>
    <t>交易處理費用</t>
    <phoneticPr fontId="3" type="noConversion"/>
  </si>
  <si>
    <t>EnqEMemo</t>
    <phoneticPr fontId="3" type="noConversion"/>
  </si>
  <si>
    <t>Memo</t>
    <phoneticPr fontId="3" type="noConversion"/>
  </si>
  <si>
    <t>重複繳款檢核</t>
    <phoneticPr fontId="3" type="noConversion"/>
  </si>
  <si>
    <t>Foreign Real Account</t>
    <phoneticPr fontId="3" type="noConversion"/>
  </si>
  <si>
    <t>Foreign Real Account Name</t>
    <phoneticPr fontId="3" type="noConversion"/>
  </si>
  <si>
    <t>Fax Service Flag</t>
    <phoneticPr fontId="3" type="noConversion"/>
  </si>
  <si>
    <t>Fax Number</t>
    <phoneticPr fontId="3" type="noConversion"/>
  </si>
  <si>
    <t>EMAIL Flag</t>
    <phoneticPr fontId="3" type="noConversion"/>
  </si>
  <si>
    <t>EMAIL</t>
    <phoneticPr fontId="3" type="noConversion"/>
  </si>
  <si>
    <t>EMAIL服務註記</t>
    <phoneticPr fontId="27" type="noConversion"/>
  </si>
  <si>
    <t>Duplicated Payment Check Flag</t>
    <phoneticPr fontId="3" type="noConversion"/>
  </si>
  <si>
    <t>Project Start Date</t>
    <phoneticPr fontId="3" type="noConversion"/>
  </si>
  <si>
    <t>Channel Pack Flag</t>
    <phoneticPr fontId="3" type="noConversion"/>
  </si>
  <si>
    <t>Project End Date</t>
    <phoneticPr fontId="3" type="noConversion"/>
  </si>
  <si>
    <t>Stop Flag</t>
    <phoneticPr fontId="3" type="noConversion"/>
  </si>
  <si>
    <t>Payment Channel Code</t>
    <phoneticPr fontId="3" type="noConversion"/>
  </si>
  <si>
    <t>Project Start Date Time</t>
    <phoneticPr fontId="3" type="noConversion"/>
  </si>
  <si>
    <t>Project End Date Time</t>
    <phoneticPr fontId="3" type="noConversion"/>
  </si>
  <si>
    <t>Collection Main Business</t>
    <phoneticPr fontId="3" type="noConversion"/>
  </si>
  <si>
    <t>Collection Sub Business</t>
    <phoneticPr fontId="3" type="noConversion"/>
  </si>
  <si>
    <t>Transaction Data Provided Cycle</t>
    <phoneticPr fontId="3" type="noConversion"/>
  </si>
  <si>
    <t>Payment Number Check Flag</t>
    <phoneticPr fontId="3" type="noConversion"/>
  </si>
  <si>
    <t>VR Account Link Real Account</t>
    <phoneticPr fontId="3" type="noConversion"/>
  </si>
  <si>
    <t>VR Account Link Real Account Name</t>
    <phoneticPr fontId="3" type="noConversion"/>
  </si>
  <si>
    <t>Drawdown List</t>
    <phoneticPr fontId="3" type="noConversion"/>
  </si>
  <si>
    <t>選單</t>
    <phoneticPr fontId="3" type="noConversion"/>
  </si>
  <si>
    <t>List</t>
    <phoneticPr fontId="3" type="noConversion"/>
  </si>
  <si>
    <t>EnqERefStaffNo</t>
    <phoneticPr fontId="3" type="noConversion"/>
  </si>
  <si>
    <t>Staff No</t>
    <phoneticPr fontId="3" type="noConversion"/>
  </si>
  <si>
    <t>Income Per Month</t>
    <phoneticPr fontId="3" type="noConversion"/>
  </si>
  <si>
    <t>Collection Volatility Per Month</t>
    <phoneticPr fontId="3" type="noConversion"/>
  </si>
  <si>
    <t>Forecast Collection Amount Per Month</t>
    <phoneticPr fontId="3" type="noConversion"/>
  </si>
  <si>
    <t>Forecast Collection Count Per Month</t>
    <phoneticPr fontId="3" type="noConversion"/>
  </si>
  <si>
    <t>TXT File Flag</t>
    <phoneticPr fontId="3" type="noConversion"/>
  </si>
  <si>
    <t>CSV File Flag</t>
    <phoneticPr fontId="3" type="noConversion"/>
  </si>
  <si>
    <t>Managerment Fee</t>
    <phoneticPr fontId="3" type="noConversion"/>
  </si>
  <si>
    <t>Transaction Fee</t>
    <phoneticPr fontId="3" type="noConversion"/>
  </si>
  <si>
    <t>Account Currency</t>
    <phoneticPr fontId="3" type="noConversion"/>
  </si>
  <si>
    <t>Paid Account</t>
    <phoneticPr fontId="3" type="noConversion"/>
  </si>
  <si>
    <t>截止日當日時段</t>
    <phoneticPr fontId="3" type="noConversion"/>
  </si>
  <si>
    <t>EnqEEndDateTime</t>
    <phoneticPr fontId="3" type="noConversion"/>
  </si>
  <si>
    <t>End Date Time</t>
    <phoneticPr fontId="3" type="noConversion"/>
  </si>
  <si>
    <t>專案代號使用起日</t>
    <phoneticPr fontId="27" type="noConversion"/>
  </si>
  <si>
    <t>專案代號使用迄日</t>
    <phoneticPr fontId="27" type="noConversion"/>
  </si>
  <si>
    <t>專案代號起日開始時間(hhmmss)</t>
    <phoneticPr fontId="27" type="noConversion"/>
  </si>
  <si>
    <t>專案代號使用迄日截止時間(hhmmss)</t>
    <phoneticPr fontId="27" type="noConversion"/>
  </si>
  <si>
    <t>台幣註記</t>
    <phoneticPr fontId="3" type="noConversion"/>
  </si>
  <si>
    <t>TWD Flag</t>
    <phoneticPr fontId="3" type="noConversion"/>
  </si>
  <si>
    <t>外幣註記</t>
    <phoneticPr fontId="3" type="noConversion"/>
  </si>
  <si>
    <t>Foreign Currency Flag</t>
    <phoneticPr fontId="3" type="noConversion"/>
  </si>
  <si>
    <r>
      <t>EQ:</t>
    </r>
    <r>
      <rPr>
        <sz val="10"/>
        <color theme="1"/>
        <rFont val="細明體"/>
        <family val="3"/>
        <charset val="136"/>
      </rPr>
      <t>固定金額</t>
    </r>
    <r>
      <rPr>
        <sz val="10"/>
        <color theme="1"/>
        <rFont val="Calibri"/>
        <family val="2"/>
      </rPr>
      <t>;
RG:</t>
    </r>
    <r>
      <rPr>
        <sz val="10"/>
        <color theme="1"/>
        <rFont val="細明體"/>
        <family val="3"/>
        <charset val="136"/>
      </rPr>
      <t>金額區間</t>
    </r>
    <r>
      <rPr>
        <sz val="10"/>
        <color theme="1"/>
        <rFont val="Calibri"/>
        <family val="2"/>
      </rPr>
      <t>;
ML:</t>
    </r>
    <r>
      <rPr>
        <sz val="10"/>
        <color theme="1"/>
        <rFont val="細明體"/>
        <family val="3"/>
        <charset val="136"/>
      </rPr>
      <t>股價金額倍數檢核</t>
    </r>
    <r>
      <rPr>
        <sz val="10"/>
        <color theme="1"/>
        <rFont val="Calibri"/>
        <family val="2"/>
      </rPr>
      <t xml:space="preserve">;
</t>
    </r>
    <r>
      <rPr>
        <sz val="10"/>
        <color theme="1"/>
        <rFont val="細明體"/>
        <family val="3"/>
        <charset val="136"/>
      </rPr>
      <t>空白</t>
    </r>
    <r>
      <rPr>
        <sz val="10"/>
        <color theme="1"/>
        <rFont val="Calibri"/>
        <family val="2"/>
      </rPr>
      <t>:</t>
    </r>
    <r>
      <rPr>
        <sz val="10"/>
        <color theme="1"/>
        <rFont val="細明體"/>
        <family val="3"/>
        <charset val="136"/>
      </rPr>
      <t>不檢核</t>
    </r>
    <r>
      <rPr>
        <sz val="10"/>
        <color theme="1"/>
        <rFont val="Calibri"/>
        <family val="2"/>
      </rPr>
      <t>;</t>
    </r>
    <phoneticPr fontId="3" type="noConversion"/>
  </si>
  <si>
    <t>其它檢核說明(備註)</t>
    <phoneticPr fontId="3" type="noConversion"/>
  </si>
  <si>
    <t>記錄檔更新註記</t>
    <phoneticPr fontId="3" type="noConversion"/>
  </si>
  <si>
    <t>Y</t>
    <phoneticPr fontId="3" type="noConversion"/>
  </si>
  <si>
    <t>Upload Log Flag</t>
    <phoneticPr fontId="3" type="noConversion"/>
  </si>
  <si>
    <t>T24檢核邏輯</t>
    <phoneticPr fontId="27" type="noConversion"/>
  </si>
  <si>
    <t>Account Check Routine</t>
    <phoneticPr fontId="3" type="noConversion"/>
  </si>
  <si>
    <t>限定繳款通路(可多個, ~分隔)</t>
    <phoneticPr fontId="27" type="noConversion"/>
  </si>
  <si>
    <t>入金即時通知設定模組</t>
    <phoneticPr fontId="3" type="noConversion"/>
  </si>
  <si>
    <t>EnqEPostLogRtn</t>
    <phoneticPr fontId="3" type="noConversion"/>
  </si>
  <si>
    <t>Post Log Routine</t>
    <phoneticPr fontId="3" type="noConversion"/>
  </si>
  <si>
    <t>外幣幣別(可多個, ~分隔)</t>
    <phoneticPr fontId="27" type="noConversion"/>
  </si>
  <si>
    <t>Foreign Currency</t>
    <phoneticPr fontId="3" type="noConversion"/>
  </si>
  <si>
    <t>外幣往來明細提供周期</t>
    <phoneticPr fontId="27" type="noConversion"/>
  </si>
  <si>
    <t>Foreign Transaction Data Provided Cycle</t>
    <phoneticPr fontId="3" type="noConversion"/>
  </si>
  <si>
    <t>Y:Check</t>
    <phoneticPr fontId="3" type="noConversion"/>
  </si>
  <si>
    <t>Y:STOP</t>
    <phoneticPr fontId="3" type="noConversion"/>
  </si>
  <si>
    <t>Channel Collection Flag</t>
    <phoneticPr fontId="3" type="noConversion"/>
  </si>
  <si>
    <t>Channel Transaction Fee</t>
    <phoneticPr fontId="3" type="noConversion"/>
  </si>
  <si>
    <t>通路設定(超商/郵局/農漁, ~分隔)</t>
    <phoneticPr fontId="3" type="noConversion"/>
  </si>
  <si>
    <t>通路處理費(超商/郵局/農漁, ~分隔)</t>
    <phoneticPr fontId="3" type="noConversion"/>
  </si>
  <si>
    <t>通路整包入帳註記(超商/郵局/農漁, ~分隔)</t>
    <phoneticPr fontId="3" type="noConversion"/>
  </si>
  <si>
    <t>通路傳送TXT註記(超商/郵局/農漁, ~分隔)</t>
    <phoneticPr fontId="3" type="noConversion"/>
  </si>
  <si>
    <t>通路傳送CSV註記(超商/郵局/農漁, ~分隔)</t>
    <phoneticPr fontId="3" type="noConversion"/>
  </si>
  <si>
    <t>OPTION</t>
  </si>
  <si>
    <t>E.TXN.DATE.LOG.LIN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</si>
</sst>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  <charset val="136"/>
    </font>
    <font>
      <sz val="10"/>
      <color rgb="FF0000D4"/>
      <name val="細明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0"/>
      <color rgb="FF000000"/>
      <name val="Calibri"/>
      <family val="2"/>
    </font>
    <font>
      <sz val="11"/>
      <name val="Consolas"/>
      <family val="3"/>
    </font>
    <font>
      <sz val="10"/>
      <name val="Verdana"/>
      <family val="2"/>
    </font>
    <font>
      <sz val="10"/>
      <name val="細明體"/>
      <family val="3"/>
      <charset val="136"/>
    </font>
    <font>
      <sz val="9"/>
      <name val="新細明體"/>
      <family val="1"/>
      <charset val="136"/>
    </font>
    <font>
      <sz val="9"/>
      <name val="新細明體"/>
      <family val="2"/>
      <charset val="134"/>
      <scheme val="minor"/>
    </font>
    <font>
      <sz val="11"/>
      <name val="細明體"/>
      <family val="2"/>
      <charset val="136"/>
    </font>
    <font>
      <sz val="10"/>
      <color theme="1"/>
      <name val="細明體"/>
      <family val="3"/>
      <charset val="136"/>
    </font>
    <font>
      <sz val="10"/>
      <color theme="1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4" fillId="6" borderId="6" xfId="0" applyFont="1" applyFill="1" applyBorder="1"/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6" fillId="0" borderId="6" xfId="5" applyFont="1" applyBorder="1" applyAlignment="1">
      <alignment horizontal="left" vertical="top" wrapText="1"/>
    </xf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0" fontId="18" fillId="0" borderId="0" xfId="5" applyFont="1"/>
    <xf numFmtId="0" fontId="13" fillId="0" borderId="6" xfId="0" applyFont="1" applyBorder="1"/>
    <xf numFmtId="0" fontId="20" fillId="0" borderId="5" xfId="0" applyFont="1" applyBorder="1" applyAlignment="1">
      <alignment horizontal="center" vertical="center" wrapText="1"/>
    </xf>
    <xf numFmtId="0" fontId="21" fillId="0" borderId="6" xfId="0" applyFont="1" applyBorder="1"/>
    <xf numFmtId="0" fontId="16" fillId="0" borderId="6" xfId="0" applyFont="1" applyBorder="1" applyAlignment="1">
      <alignment vertical="top" wrapText="1"/>
    </xf>
    <xf numFmtId="0" fontId="26" fillId="0" borderId="0" xfId="0" applyFont="1" applyFill="1" applyBorder="1" applyAlignment="1">
      <alignment vertical="center" wrapText="1"/>
    </xf>
    <xf numFmtId="0" fontId="25" fillId="0" borderId="0" xfId="0" applyFont="1" applyFill="1" applyBorder="1" applyAlignment="1">
      <alignment vertical="center" wrapText="1"/>
    </xf>
    <xf numFmtId="0" fontId="10" fillId="0" borderId="0" xfId="0" applyFont="1" applyFill="1" applyBorder="1"/>
    <xf numFmtId="0" fontId="26" fillId="0" borderId="0" xfId="0" applyFont="1" applyFill="1" applyBorder="1" applyAlignment="1">
      <alignment horizontal="justify" vertical="center"/>
    </xf>
    <xf numFmtId="0" fontId="11" fillId="4" borderId="11" xfId="0" applyFont="1" applyFill="1" applyBorder="1" applyAlignment="1">
      <alignment horizontal="left"/>
    </xf>
    <xf numFmtId="0" fontId="11" fillId="4" borderId="11" xfId="4" applyFont="1" applyFill="1" applyBorder="1" applyAlignment="1">
      <alignment horizontal="left"/>
    </xf>
    <xf numFmtId="0" fontId="19" fillId="4" borderId="11" xfId="0" applyFont="1" applyFill="1" applyBorder="1" applyAlignment="1">
      <alignment horizontal="left"/>
    </xf>
    <xf numFmtId="0" fontId="22" fillId="4" borderId="11" xfId="0" applyFont="1" applyFill="1" applyBorder="1" applyAlignment="1">
      <alignment horizontal="left"/>
    </xf>
    <xf numFmtId="0" fontId="29" fillId="4" borderId="11" xfId="0" applyFont="1" applyFill="1" applyBorder="1" applyAlignment="1">
      <alignment horizontal="left"/>
    </xf>
    <xf numFmtId="0" fontId="14" fillId="6" borderId="11" xfId="0" applyFont="1" applyFill="1" applyBorder="1"/>
    <xf numFmtId="0" fontId="17" fillId="0" borderId="0" xfId="0" applyFont="1" applyFill="1" applyAlignment="1">
      <alignment vertical="center"/>
    </xf>
    <xf numFmtId="0" fontId="31" fillId="0" borderId="6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1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7" fillId="0" borderId="0" xfId="0" applyFont="1" applyAlignment="1">
      <alignment vertical="center" wrapText="1"/>
    </xf>
    <xf numFmtId="0" fontId="10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30" fillId="0" borderId="0" xfId="0" applyFont="1" applyFill="1" applyBorder="1" applyAlignment="1">
      <alignment vertical="center"/>
    </xf>
    <xf numFmtId="0" fontId="26" fillId="0" borderId="0" xfId="0" applyFont="1" applyFill="1" applyBorder="1" applyAlignment="1">
      <alignment horizontal="justify" vertical="center" wrapText="1"/>
    </xf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6</xdr:row>
          <xdr:rowOff>123825</xdr:rowOff>
        </xdr:from>
        <xdr:to>
          <xdr:col>7</xdr:col>
          <xdr:colOff>209550</xdr:colOff>
          <xdr:row>6</xdr:row>
          <xdr:rowOff>638175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image" Target="../media/image1.emf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>
      <selection activeCell="C7" sqref="C7"/>
    </sheetView>
  </sheetViews>
  <sheetFormatPr defaultColWidth="9.140625" defaultRowHeight="15.75" x14ac:dyDescent="0.2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 x14ac:dyDescent="0.25">
      <c r="A1" s="49" t="s">
        <v>20</v>
      </c>
      <c r="B1" s="50"/>
      <c r="C1" s="50"/>
      <c r="D1" s="50"/>
      <c r="E1" s="50"/>
    </row>
    <row r="2" spans="1:5" ht="20.100000000000001" customHeight="1" thickBot="1" x14ac:dyDescent="0.3">
      <c r="A2" s="46" t="s">
        <v>0</v>
      </c>
      <c r="B2" s="47"/>
      <c r="C2" s="47"/>
      <c r="D2" s="47"/>
      <c r="E2" s="48"/>
    </row>
    <row r="3" spans="1:5" ht="16.5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6.5" thickBot="1" x14ac:dyDescent="0.3">
      <c r="A4" s="3" t="s">
        <v>6</v>
      </c>
      <c r="B4" s="6">
        <v>44823</v>
      </c>
      <c r="C4" s="5" t="s">
        <v>7</v>
      </c>
      <c r="D4" s="31" t="s">
        <v>144</v>
      </c>
      <c r="E4" s="4" t="s">
        <v>8</v>
      </c>
    </row>
    <row r="5" spans="1:5" ht="16.5" thickBot="1" x14ac:dyDescent="0.3">
      <c r="A5" s="3"/>
      <c r="B5" s="6"/>
      <c r="C5" s="5"/>
      <c r="D5" s="3"/>
      <c r="E5" s="4"/>
    </row>
    <row r="6" spans="1:5" ht="16.5" thickBot="1" x14ac:dyDescent="0.3">
      <c r="A6" s="3"/>
      <c r="B6" s="6"/>
      <c r="C6" s="5"/>
      <c r="D6" s="3"/>
      <c r="E6" s="4"/>
    </row>
    <row r="7" spans="1:5" ht="16.5" thickBot="1" x14ac:dyDescent="0.3">
      <c r="A7" s="3"/>
      <c r="B7" s="6"/>
      <c r="C7" s="5"/>
      <c r="D7" s="3"/>
      <c r="E7" s="4"/>
    </row>
    <row r="8" spans="1:5" ht="16.5" thickBot="1" x14ac:dyDescent="0.3">
      <c r="A8" s="4"/>
      <c r="B8" s="7"/>
      <c r="C8" s="8"/>
      <c r="D8" s="4"/>
      <c r="E8" s="4"/>
    </row>
    <row r="9" spans="1:5" ht="16.5" thickBot="1" x14ac:dyDescent="0.3">
      <c r="A9" s="4"/>
      <c r="B9" s="7"/>
      <c r="C9" s="8"/>
      <c r="D9" s="4"/>
      <c r="E9" s="4"/>
    </row>
    <row r="10" spans="1:5" ht="16.5" thickBot="1" x14ac:dyDescent="0.3">
      <c r="A10" s="4"/>
      <c r="B10" s="7"/>
      <c r="C10" s="8"/>
      <c r="D10" s="4"/>
      <c r="E10" s="4"/>
    </row>
    <row r="11" spans="1:5" ht="16.5" thickBot="1" x14ac:dyDescent="0.3">
      <c r="A11" s="4" t="s">
        <v>8</v>
      </c>
      <c r="B11" s="4" t="s">
        <v>8</v>
      </c>
      <c r="C11" s="4" t="s">
        <v>8</v>
      </c>
      <c r="D11" s="4" t="s">
        <v>8</v>
      </c>
      <c r="E11" s="4" t="s">
        <v>8</v>
      </c>
    </row>
    <row r="12" spans="1:5" ht="16.5" thickBot="1" x14ac:dyDescent="0.3">
      <c r="A12" s="4" t="s">
        <v>8</v>
      </c>
      <c r="B12" s="4" t="s">
        <v>8</v>
      </c>
      <c r="C12" s="4" t="s">
        <v>8</v>
      </c>
      <c r="D12" s="4" t="s">
        <v>8</v>
      </c>
      <c r="E12" s="4" t="s">
        <v>8</v>
      </c>
    </row>
    <row r="13" spans="1:5" ht="16.5" thickBot="1" x14ac:dyDescent="0.3">
      <c r="A13" s="4" t="s">
        <v>8</v>
      </c>
      <c r="B13" s="4" t="s">
        <v>8</v>
      </c>
      <c r="C13" s="4" t="s">
        <v>8</v>
      </c>
      <c r="D13" s="4" t="s">
        <v>8</v>
      </c>
      <c r="E13" s="4" t="s">
        <v>8</v>
      </c>
    </row>
    <row r="14" spans="1:5" ht="16.5" thickBot="1" x14ac:dyDescent="0.3">
      <c r="A14" s="4" t="s">
        <v>8</v>
      </c>
      <c r="B14" s="4" t="s">
        <v>8</v>
      </c>
      <c r="C14" s="4" t="s">
        <v>8</v>
      </c>
      <c r="D14" s="4" t="s">
        <v>8</v>
      </c>
      <c r="E14" s="4" t="s">
        <v>8</v>
      </c>
    </row>
    <row r="15" spans="1:5" ht="16.5" thickBot="1" x14ac:dyDescent="0.3">
      <c r="A15" s="4" t="s">
        <v>8</v>
      </c>
      <c r="B15" s="4" t="s">
        <v>8</v>
      </c>
      <c r="C15" s="4" t="s">
        <v>8</v>
      </c>
      <c r="D15" s="4" t="s">
        <v>8</v>
      </c>
      <c r="E15" s="4" t="s">
        <v>8</v>
      </c>
    </row>
    <row r="16" spans="1:5" ht="16.5" thickBot="1" x14ac:dyDescent="0.3">
      <c r="A16" s="4" t="s">
        <v>8</v>
      </c>
      <c r="B16" s="4" t="s">
        <v>8</v>
      </c>
      <c r="C16" s="4" t="s">
        <v>8</v>
      </c>
      <c r="D16" s="4" t="s">
        <v>8</v>
      </c>
      <c r="E16" s="4" t="s">
        <v>8</v>
      </c>
    </row>
    <row r="17" spans="1:5" ht="16.5" thickBot="1" x14ac:dyDescent="0.3">
      <c r="A17" s="4" t="s">
        <v>8</v>
      </c>
      <c r="B17" s="4" t="s">
        <v>8</v>
      </c>
      <c r="C17" s="4" t="s">
        <v>8</v>
      </c>
      <c r="D17" s="4" t="s">
        <v>8</v>
      </c>
      <c r="E17" s="4" t="s">
        <v>8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90"/>
  <sheetViews>
    <sheetView tabSelected="1" topLeftCell="B1" zoomScaleNormal="100" workbookViewId="0">
      <selection activeCell="F25" sqref="F25"/>
    </sheetView>
  </sheetViews>
  <sheetFormatPr defaultColWidth="8.85546875" defaultRowHeight="15" x14ac:dyDescent="0.25"/>
  <cols>
    <col min="1" max="1" width="4.28515625" style="9" bestFit="1" customWidth="1"/>
    <col min="2" max="2" width="34.42578125" style="9" bestFit="1" customWidth="1"/>
    <col min="3" max="3" width="26.42578125" style="12" customWidth="1"/>
    <col min="4" max="4" width="18.5703125" style="12" customWidth="1"/>
    <col min="5" max="5" width="34.140625" style="12" customWidth="1"/>
    <col min="6" max="6" width="26.28515625" style="12" bestFit="1" customWidth="1"/>
    <col min="7" max="7" width="42" style="12" customWidth="1"/>
    <col min="8" max="8" width="32.7109375" style="12" customWidth="1"/>
    <col min="9" max="9" width="21.140625" style="12" customWidth="1"/>
    <col min="10" max="16384" width="8.85546875" style="12"/>
  </cols>
  <sheetData>
    <row r="1" spans="2:6" x14ac:dyDescent="0.25">
      <c r="B1" s="10" t="s">
        <v>32</v>
      </c>
      <c r="C1" s="11" t="s">
        <v>46</v>
      </c>
    </row>
    <row r="2" spans="2:6" x14ac:dyDescent="0.25">
      <c r="B2" s="10" t="s">
        <v>33</v>
      </c>
      <c r="C2" s="30" t="s">
        <v>47</v>
      </c>
    </row>
    <row r="3" spans="2:6" x14ac:dyDescent="0.25">
      <c r="B3" s="10" t="s">
        <v>9</v>
      </c>
      <c r="C3" s="11" t="str">
        <f>+"/api/v1.0.0/party/"&amp;C1</f>
        <v>/api/v1.0.0/party/ED0011</v>
      </c>
    </row>
    <row r="4" spans="2:6" ht="60" x14ac:dyDescent="0.25">
      <c r="B4" s="10" t="s">
        <v>23</v>
      </c>
      <c r="C4" s="13" t="s">
        <v>34</v>
      </c>
    </row>
    <row r="5" spans="2:6" x14ac:dyDescent="0.25">
      <c r="B5" s="10" t="s">
        <v>27</v>
      </c>
      <c r="C5" s="11" t="s">
        <v>10</v>
      </c>
    </row>
    <row r="6" spans="2:6" x14ac:dyDescent="0.25">
      <c r="B6" s="10" t="s">
        <v>22</v>
      </c>
      <c r="C6" s="11" t="s">
        <v>11</v>
      </c>
    </row>
    <row r="7" spans="2:6" x14ac:dyDescent="0.25">
      <c r="B7" s="10" t="s">
        <v>40</v>
      </c>
      <c r="C7" s="11" t="s">
        <v>48</v>
      </c>
    </row>
    <row r="8" spans="2:6" x14ac:dyDescent="0.25">
      <c r="B8" s="10" t="s">
        <v>24</v>
      </c>
      <c r="C8" s="11" t="str">
        <f>+"ENQ.API."&amp;C1&amp;".1.0.0"</f>
        <v>ENQ.API.ED0011.1.0.0</v>
      </c>
    </row>
    <row r="9" spans="2:6" x14ac:dyDescent="0.25">
      <c r="B9" s="12"/>
    </row>
    <row r="10" spans="2:6" x14ac:dyDescent="0.25">
      <c r="B10" s="12"/>
    </row>
    <row r="11" spans="2:6" x14ac:dyDescent="0.25">
      <c r="B11" s="10" t="s">
        <v>12</v>
      </c>
      <c r="C11" s="14" t="s">
        <v>21</v>
      </c>
      <c r="D11" s="10" t="s">
        <v>13</v>
      </c>
      <c r="E11" s="15" t="s">
        <v>35</v>
      </c>
      <c r="F11" s="43" t="s">
        <v>258</v>
      </c>
    </row>
    <row r="12" spans="2:6" x14ac:dyDescent="0.25">
      <c r="B12" s="27" t="s">
        <v>49</v>
      </c>
      <c r="C12" s="27" t="s">
        <v>58</v>
      </c>
      <c r="D12" s="27" t="s">
        <v>60</v>
      </c>
      <c r="E12" s="45" t="s">
        <v>306</v>
      </c>
      <c r="F12" s="32"/>
    </row>
    <row r="13" spans="2:6" x14ac:dyDescent="0.25">
      <c r="B13" s="27" t="s">
        <v>49</v>
      </c>
      <c r="C13" s="27" t="s">
        <v>179</v>
      </c>
      <c r="D13" s="27" t="s">
        <v>59</v>
      </c>
      <c r="E13" s="45" t="s">
        <v>306</v>
      </c>
      <c r="F13" s="32"/>
    </row>
    <row r="14" spans="2:6" x14ac:dyDescent="0.25">
      <c r="B14" s="27" t="s">
        <v>50</v>
      </c>
      <c r="C14" s="27" t="s">
        <v>51</v>
      </c>
      <c r="D14" s="27" t="s">
        <v>52</v>
      </c>
      <c r="E14" s="45" t="s">
        <v>306</v>
      </c>
      <c r="F14" s="32"/>
    </row>
    <row r="15" spans="2:6" x14ac:dyDescent="0.25">
      <c r="B15" s="27" t="s">
        <v>53</v>
      </c>
      <c r="C15" s="27" t="s">
        <v>54</v>
      </c>
      <c r="D15" s="27" t="s">
        <v>60</v>
      </c>
      <c r="E15" s="45" t="s">
        <v>306</v>
      </c>
      <c r="F15" s="32"/>
    </row>
    <row r="16" spans="2:6" x14ac:dyDescent="0.25">
      <c r="B16" s="27" t="s">
        <v>53</v>
      </c>
      <c r="C16" s="27" t="s">
        <v>178</v>
      </c>
      <c r="D16" s="27" t="s">
        <v>61</v>
      </c>
      <c r="E16" s="45" t="s">
        <v>306</v>
      </c>
      <c r="F16" s="32"/>
    </row>
    <row r="17" spans="1:9" x14ac:dyDescent="0.25">
      <c r="B17" s="27" t="s">
        <v>194</v>
      </c>
      <c r="C17" s="27" t="s">
        <v>55</v>
      </c>
      <c r="D17" s="27" t="s">
        <v>52</v>
      </c>
      <c r="E17" s="45" t="s">
        <v>306</v>
      </c>
      <c r="F17" s="11"/>
    </row>
    <row r="18" spans="1:9" x14ac:dyDescent="0.25">
      <c r="B18" s="27" t="s">
        <v>56</v>
      </c>
      <c r="C18" s="27" t="s">
        <v>57</v>
      </c>
      <c r="D18" s="27" t="s">
        <v>52</v>
      </c>
      <c r="E18" s="45" t="s">
        <v>306</v>
      </c>
      <c r="F18" s="11"/>
    </row>
    <row r="19" spans="1:9" x14ac:dyDescent="0.25">
      <c r="A19" s="17"/>
      <c r="B19" s="16"/>
      <c r="C19" s="17"/>
      <c r="D19" s="16"/>
      <c r="E19" s="16"/>
      <c r="F19" s="16"/>
    </row>
    <row r="20" spans="1:9" s="18" customFormat="1" x14ac:dyDescent="0.25">
      <c r="A20" s="38" t="s">
        <v>14</v>
      </c>
      <c r="B20" s="38" t="s">
        <v>15</v>
      </c>
      <c r="C20" s="38" t="s">
        <v>16</v>
      </c>
      <c r="D20" s="39" t="s">
        <v>25</v>
      </c>
      <c r="E20" s="38" t="s">
        <v>17</v>
      </c>
      <c r="F20" s="38" t="s">
        <v>18</v>
      </c>
      <c r="G20" s="38" t="s">
        <v>26</v>
      </c>
      <c r="H20" s="38" t="s">
        <v>26</v>
      </c>
      <c r="I20" s="38" t="s">
        <v>256</v>
      </c>
    </row>
    <row r="21" spans="1:9" s="18" customFormat="1" ht="15.75" x14ac:dyDescent="0.25">
      <c r="A21" s="38"/>
      <c r="B21" s="38" t="s">
        <v>36</v>
      </c>
      <c r="C21" s="40" t="s">
        <v>43</v>
      </c>
      <c r="D21" s="38" t="s">
        <v>37</v>
      </c>
      <c r="E21" s="38" t="s">
        <v>38</v>
      </c>
      <c r="F21" s="38" t="s">
        <v>39</v>
      </c>
      <c r="G21" s="41" t="s">
        <v>44</v>
      </c>
      <c r="H21" s="41" t="s">
        <v>45</v>
      </c>
      <c r="I21" s="42" t="s">
        <v>257</v>
      </c>
    </row>
    <row r="22" spans="1:9" s="51" customFormat="1" x14ac:dyDescent="0.25">
      <c r="A22" s="26">
        <v>1</v>
      </c>
      <c r="B22" s="26" t="s">
        <v>145</v>
      </c>
      <c r="C22" s="26" t="s">
        <v>140</v>
      </c>
      <c r="F22" s="52" t="s">
        <v>146</v>
      </c>
      <c r="G22" s="34" t="s">
        <v>199</v>
      </c>
      <c r="H22" s="52" t="s">
        <v>222</v>
      </c>
    </row>
    <row r="23" spans="1:9" s="51" customFormat="1" x14ac:dyDescent="0.25">
      <c r="A23" s="26">
        <v>2</v>
      </c>
      <c r="B23" s="26" t="s">
        <v>147</v>
      </c>
      <c r="C23" s="26" t="s">
        <v>141</v>
      </c>
      <c r="F23" s="52" t="s">
        <v>148</v>
      </c>
      <c r="G23" s="34" t="s">
        <v>200</v>
      </c>
      <c r="H23" s="52" t="s">
        <v>223</v>
      </c>
    </row>
    <row r="24" spans="1:9" s="51" customFormat="1" x14ac:dyDescent="0.25">
      <c r="A24" s="26">
        <v>3</v>
      </c>
      <c r="B24" s="26" t="s">
        <v>149</v>
      </c>
      <c r="C24" s="26" t="s">
        <v>93</v>
      </c>
      <c r="F24" s="52" t="s">
        <v>150</v>
      </c>
      <c r="G24" s="34" t="s">
        <v>201</v>
      </c>
      <c r="H24" s="53" t="s">
        <v>221</v>
      </c>
    </row>
    <row r="25" spans="1:9" s="51" customFormat="1" x14ac:dyDescent="0.25">
      <c r="A25" s="26">
        <v>4</v>
      </c>
      <c r="B25" s="26" t="s">
        <v>151</v>
      </c>
      <c r="C25" s="26" t="s">
        <v>94</v>
      </c>
      <c r="F25" s="52" t="s">
        <v>152</v>
      </c>
      <c r="G25" s="34" t="s">
        <v>218</v>
      </c>
      <c r="H25" s="52" t="s">
        <v>254</v>
      </c>
    </row>
    <row r="26" spans="1:9" s="51" customFormat="1" x14ac:dyDescent="0.25">
      <c r="A26" s="26">
        <v>5</v>
      </c>
      <c r="B26" s="26" t="s">
        <v>153</v>
      </c>
      <c r="C26" s="26" t="s">
        <v>95</v>
      </c>
      <c r="F26" s="51" t="s">
        <v>155</v>
      </c>
      <c r="G26" s="34" t="s">
        <v>202</v>
      </c>
      <c r="H26" s="52" t="s">
        <v>255</v>
      </c>
    </row>
    <row r="27" spans="1:9" s="51" customFormat="1" ht="57" x14ac:dyDescent="0.25">
      <c r="A27" s="26">
        <v>6</v>
      </c>
      <c r="B27" s="26" t="s">
        <v>156</v>
      </c>
      <c r="C27" s="26" t="s">
        <v>96</v>
      </c>
      <c r="D27" s="26"/>
      <c r="E27" s="26"/>
      <c r="F27" s="52" t="s">
        <v>154</v>
      </c>
      <c r="G27" s="34" t="s">
        <v>203</v>
      </c>
      <c r="H27" s="52" t="s">
        <v>224</v>
      </c>
      <c r="I27" s="54" t="s">
        <v>282</v>
      </c>
    </row>
    <row r="28" spans="1:9" s="51" customFormat="1" x14ac:dyDescent="0.25">
      <c r="A28" s="26">
        <v>7</v>
      </c>
      <c r="B28" s="26" t="s">
        <v>157</v>
      </c>
      <c r="C28" s="26" t="s">
        <v>97</v>
      </c>
      <c r="D28" s="26"/>
      <c r="E28" s="26"/>
      <c r="F28" s="52" t="s">
        <v>158</v>
      </c>
      <c r="G28" s="34" t="s">
        <v>204</v>
      </c>
      <c r="H28" s="52" t="s">
        <v>225</v>
      </c>
    </row>
    <row r="29" spans="1:9" s="51" customFormat="1" x14ac:dyDescent="0.25">
      <c r="A29" s="26">
        <v>8</v>
      </c>
      <c r="B29" s="26" t="s">
        <v>159</v>
      </c>
      <c r="C29" s="26" t="s">
        <v>98</v>
      </c>
      <c r="D29" s="26"/>
      <c r="E29" s="26"/>
      <c r="F29" s="52" t="s">
        <v>158</v>
      </c>
      <c r="G29" s="35" t="s">
        <v>205</v>
      </c>
      <c r="H29" s="52" t="s">
        <v>226</v>
      </c>
    </row>
    <row r="30" spans="1:9" s="51" customFormat="1" x14ac:dyDescent="0.25">
      <c r="A30" s="26">
        <v>9</v>
      </c>
      <c r="B30" s="26" t="s">
        <v>160</v>
      </c>
      <c r="C30" s="26" t="s">
        <v>99</v>
      </c>
      <c r="D30" s="26"/>
      <c r="E30" s="26"/>
      <c r="F30" s="52" t="s">
        <v>161</v>
      </c>
      <c r="G30" s="34" t="s">
        <v>234</v>
      </c>
      <c r="H30" s="52" t="s">
        <v>242</v>
      </c>
    </row>
    <row r="31" spans="1:9" s="51" customFormat="1" x14ac:dyDescent="0.25">
      <c r="A31" s="26">
        <v>10</v>
      </c>
      <c r="B31" s="26" t="s">
        <v>162</v>
      </c>
      <c r="C31" s="26" t="s">
        <v>100</v>
      </c>
      <c r="D31" s="26"/>
      <c r="E31" s="26"/>
      <c r="F31" s="52" t="s">
        <v>152</v>
      </c>
      <c r="G31" s="34" t="s">
        <v>206</v>
      </c>
      <c r="H31" s="52" t="s">
        <v>235</v>
      </c>
    </row>
    <row r="32" spans="1:9" s="51" customFormat="1" x14ac:dyDescent="0.25">
      <c r="A32" s="26">
        <v>11</v>
      </c>
      <c r="B32" s="26" t="s">
        <v>163</v>
      </c>
      <c r="C32" s="26" t="s">
        <v>101</v>
      </c>
      <c r="D32" s="26"/>
      <c r="E32" s="26"/>
      <c r="F32" s="51" t="s">
        <v>155</v>
      </c>
      <c r="G32" s="34" t="s">
        <v>207</v>
      </c>
      <c r="H32" s="52" t="s">
        <v>236</v>
      </c>
    </row>
    <row r="33" spans="1:9" s="51" customFormat="1" x14ac:dyDescent="0.25">
      <c r="A33" s="26">
        <v>12</v>
      </c>
      <c r="B33" s="26" t="s">
        <v>164</v>
      </c>
      <c r="C33" s="26" t="s">
        <v>102</v>
      </c>
      <c r="D33" s="26"/>
      <c r="E33" s="26"/>
      <c r="F33" s="26" t="s">
        <v>165</v>
      </c>
      <c r="G33" s="34" t="s">
        <v>227</v>
      </c>
      <c r="H33" s="52" t="s">
        <v>237</v>
      </c>
    </row>
    <row r="34" spans="1:9" s="51" customFormat="1" x14ac:dyDescent="0.25">
      <c r="A34" s="26">
        <v>13</v>
      </c>
      <c r="B34" s="26" t="s">
        <v>166</v>
      </c>
      <c r="C34" s="26" t="s">
        <v>103</v>
      </c>
      <c r="F34" s="26" t="s">
        <v>167</v>
      </c>
      <c r="G34" s="34" t="s">
        <v>208</v>
      </c>
      <c r="H34" s="52" t="s">
        <v>238</v>
      </c>
    </row>
    <row r="35" spans="1:9" s="51" customFormat="1" x14ac:dyDescent="0.25">
      <c r="A35" s="26">
        <v>14</v>
      </c>
      <c r="B35" s="26" t="s">
        <v>168</v>
      </c>
      <c r="C35" s="26" t="s">
        <v>104</v>
      </c>
      <c r="F35" s="26" t="s">
        <v>169</v>
      </c>
      <c r="G35" s="34" t="s">
        <v>241</v>
      </c>
      <c r="H35" s="52" t="s">
        <v>239</v>
      </c>
    </row>
    <row r="36" spans="1:9" s="51" customFormat="1" x14ac:dyDescent="0.25">
      <c r="A36" s="26">
        <v>15</v>
      </c>
      <c r="B36" s="26" t="s">
        <v>170</v>
      </c>
      <c r="C36" s="26" t="s">
        <v>105</v>
      </c>
      <c r="F36" s="52" t="s">
        <v>171</v>
      </c>
      <c r="G36" s="34" t="s">
        <v>219</v>
      </c>
      <c r="H36" s="26" t="s">
        <v>240</v>
      </c>
    </row>
    <row r="37" spans="1:9" s="55" customFormat="1" x14ac:dyDescent="0.25">
      <c r="A37" s="44">
        <v>16</v>
      </c>
      <c r="B37" s="44" t="s">
        <v>62</v>
      </c>
      <c r="C37" s="44" t="s">
        <v>106</v>
      </c>
      <c r="F37" s="56" t="s">
        <v>172</v>
      </c>
      <c r="G37" s="57"/>
      <c r="H37" s="44"/>
    </row>
    <row r="38" spans="1:9" s="51" customFormat="1" x14ac:dyDescent="0.25">
      <c r="A38" s="26">
        <v>17</v>
      </c>
      <c r="B38" s="26" t="s">
        <v>63</v>
      </c>
      <c r="C38" s="26" t="s">
        <v>107</v>
      </c>
      <c r="F38" s="51" t="s">
        <v>174</v>
      </c>
      <c r="G38" s="34" t="s">
        <v>275</v>
      </c>
      <c r="H38" s="26" t="s">
        <v>245</v>
      </c>
    </row>
    <row r="39" spans="1:9" s="51" customFormat="1" x14ac:dyDescent="0.25">
      <c r="A39" s="26">
        <v>18</v>
      </c>
      <c r="B39" s="26" t="s">
        <v>64</v>
      </c>
      <c r="C39" s="26" t="s">
        <v>108</v>
      </c>
      <c r="F39" s="52" t="s">
        <v>161</v>
      </c>
      <c r="G39" s="34" t="s">
        <v>220</v>
      </c>
      <c r="H39" s="26" t="s">
        <v>246</v>
      </c>
      <c r="I39" s="51" t="s">
        <v>298</v>
      </c>
    </row>
    <row r="40" spans="1:9" s="55" customFormat="1" x14ac:dyDescent="0.25">
      <c r="A40" s="44">
        <v>19</v>
      </c>
      <c r="B40" s="44" t="s">
        <v>65</v>
      </c>
      <c r="C40" s="44" t="s">
        <v>109</v>
      </c>
      <c r="F40" s="56" t="s">
        <v>154</v>
      </c>
      <c r="G40" s="57" t="s">
        <v>278</v>
      </c>
      <c r="H40" s="44" t="s">
        <v>279</v>
      </c>
    </row>
    <row r="41" spans="1:9" s="51" customFormat="1" x14ac:dyDescent="0.25">
      <c r="A41" s="26">
        <v>20</v>
      </c>
      <c r="B41" s="26" t="s">
        <v>175</v>
      </c>
      <c r="C41" s="26" t="s">
        <v>110</v>
      </c>
      <c r="F41" s="52" t="s">
        <v>150</v>
      </c>
      <c r="G41" s="58" t="s">
        <v>209</v>
      </c>
      <c r="H41" s="26" t="s">
        <v>252</v>
      </c>
    </row>
    <row r="42" spans="1:9" s="55" customFormat="1" x14ac:dyDescent="0.25">
      <c r="A42" s="44">
        <v>21</v>
      </c>
      <c r="B42" s="44" t="s">
        <v>66</v>
      </c>
      <c r="C42" s="44" t="s">
        <v>111</v>
      </c>
      <c r="F42" s="56" t="s">
        <v>154</v>
      </c>
      <c r="G42" s="57" t="s">
        <v>280</v>
      </c>
      <c r="H42" s="44" t="s">
        <v>281</v>
      </c>
    </row>
    <row r="43" spans="1:9" s="51" customFormat="1" x14ac:dyDescent="0.25">
      <c r="A43" s="26">
        <v>22</v>
      </c>
      <c r="B43" s="26" t="s">
        <v>67</v>
      </c>
      <c r="C43" s="26" t="s">
        <v>112</v>
      </c>
      <c r="F43" s="52" t="s">
        <v>173</v>
      </c>
      <c r="G43" s="34" t="s">
        <v>274</v>
      </c>
      <c r="H43" s="26" t="s">
        <v>243</v>
      </c>
    </row>
    <row r="44" spans="1:9" s="51" customFormat="1" x14ac:dyDescent="0.25">
      <c r="A44" s="26">
        <v>23</v>
      </c>
      <c r="B44" s="26" t="s">
        <v>68</v>
      </c>
      <c r="C44" s="26" t="s">
        <v>113</v>
      </c>
      <c r="F44" s="52" t="s">
        <v>161</v>
      </c>
      <c r="G44" s="34" t="s">
        <v>210</v>
      </c>
      <c r="H44" s="26" t="s">
        <v>253</v>
      </c>
      <c r="I44" s="51" t="s">
        <v>297</v>
      </c>
    </row>
    <row r="45" spans="1:9" s="51" customFormat="1" x14ac:dyDescent="0.25">
      <c r="A45" s="26">
        <v>24</v>
      </c>
      <c r="B45" s="26" t="s">
        <v>69</v>
      </c>
      <c r="C45" s="26" t="s">
        <v>114</v>
      </c>
      <c r="F45" s="52" t="s">
        <v>154</v>
      </c>
      <c r="G45" s="34" t="s">
        <v>287</v>
      </c>
      <c r="H45" s="26" t="s">
        <v>288</v>
      </c>
    </row>
    <row r="46" spans="1:9" s="51" customFormat="1" x14ac:dyDescent="0.25">
      <c r="A46" s="26">
        <v>25</v>
      </c>
      <c r="B46" s="26" t="s">
        <v>70</v>
      </c>
      <c r="C46" s="26" t="s">
        <v>232</v>
      </c>
      <c r="F46" s="52" t="s">
        <v>154</v>
      </c>
      <c r="G46" s="57" t="s">
        <v>283</v>
      </c>
      <c r="H46" s="26" t="s">
        <v>233</v>
      </c>
    </row>
    <row r="47" spans="1:9" s="51" customFormat="1" x14ac:dyDescent="0.25">
      <c r="A47" s="26">
        <v>26</v>
      </c>
      <c r="B47" s="26" t="s">
        <v>71</v>
      </c>
      <c r="C47" s="26" t="s">
        <v>115</v>
      </c>
      <c r="F47" s="52" t="s">
        <v>176</v>
      </c>
      <c r="G47" s="34" t="s">
        <v>276</v>
      </c>
      <c r="H47" s="26" t="s">
        <v>248</v>
      </c>
    </row>
    <row r="48" spans="1:9" s="51" customFormat="1" x14ac:dyDescent="0.25">
      <c r="A48" s="26">
        <v>27</v>
      </c>
      <c r="B48" s="26" t="s">
        <v>177</v>
      </c>
      <c r="C48" s="26" t="s">
        <v>116</v>
      </c>
      <c r="F48" s="52" t="s">
        <v>176</v>
      </c>
      <c r="G48" s="34" t="s">
        <v>277</v>
      </c>
      <c r="H48" s="26" t="s">
        <v>249</v>
      </c>
    </row>
    <row r="49" spans="1:9" s="55" customFormat="1" x14ac:dyDescent="0.25">
      <c r="A49" s="44">
        <v>28</v>
      </c>
      <c r="B49" s="44" t="s">
        <v>72</v>
      </c>
      <c r="C49" s="44" t="s">
        <v>117</v>
      </c>
      <c r="F49" s="56" t="s">
        <v>161</v>
      </c>
      <c r="G49" s="57" t="s">
        <v>284</v>
      </c>
      <c r="H49" s="44" t="s">
        <v>286</v>
      </c>
      <c r="I49" s="55" t="s">
        <v>285</v>
      </c>
    </row>
    <row r="50" spans="1:9" s="55" customFormat="1" x14ac:dyDescent="0.25">
      <c r="A50" s="44">
        <v>29</v>
      </c>
      <c r="B50" s="44" t="s">
        <v>307</v>
      </c>
      <c r="C50" s="44" t="s">
        <v>118</v>
      </c>
      <c r="F50" s="56" t="s">
        <v>154</v>
      </c>
      <c r="G50" s="57"/>
      <c r="H50" s="44"/>
    </row>
    <row r="51" spans="1:9" s="55" customFormat="1" x14ac:dyDescent="0.25">
      <c r="A51" s="44">
        <v>30</v>
      </c>
      <c r="B51" s="44" t="s">
        <v>73</v>
      </c>
      <c r="C51" s="44" t="s">
        <v>291</v>
      </c>
      <c r="F51" s="56" t="s">
        <v>154</v>
      </c>
      <c r="G51" s="57" t="s">
        <v>290</v>
      </c>
      <c r="H51" s="44" t="s">
        <v>292</v>
      </c>
    </row>
    <row r="52" spans="1:9" s="51" customFormat="1" x14ac:dyDescent="0.25">
      <c r="A52" s="26">
        <v>31</v>
      </c>
      <c r="B52" s="26" t="s">
        <v>74</v>
      </c>
      <c r="C52" s="26" t="s">
        <v>119</v>
      </c>
      <c r="F52" s="52" t="s">
        <v>146</v>
      </c>
      <c r="G52" s="37" t="s">
        <v>289</v>
      </c>
      <c r="H52" s="26" t="s">
        <v>247</v>
      </c>
    </row>
    <row r="53" spans="1:9" s="55" customFormat="1" x14ac:dyDescent="0.25">
      <c r="A53" s="44">
        <v>32</v>
      </c>
      <c r="B53" s="44" t="s">
        <v>75</v>
      </c>
      <c r="C53" s="44" t="s">
        <v>120</v>
      </c>
      <c r="F53" s="56" t="s">
        <v>161</v>
      </c>
      <c r="G53" s="57"/>
      <c r="H53" s="44"/>
    </row>
    <row r="54" spans="1:9" s="55" customFormat="1" x14ac:dyDescent="0.25">
      <c r="A54" s="44">
        <v>33</v>
      </c>
      <c r="B54" s="44" t="s">
        <v>76</v>
      </c>
      <c r="C54" s="44" t="s">
        <v>121</v>
      </c>
      <c r="F54" s="56" t="s">
        <v>180</v>
      </c>
      <c r="G54" s="57"/>
      <c r="H54" s="44"/>
    </row>
    <row r="55" spans="1:9" s="55" customFormat="1" x14ac:dyDescent="0.25">
      <c r="A55" s="44">
        <v>34</v>
      </c>
      <c r="B55" s="44" t="s">
        <v>77</v>
      </c>
      <c r="C55" s="44" t="s">
        <v>122</v>
      </c>
      <c r="F55" s="56" t="s">
        <v>161</v>
      </c>
      <c r="G55" s="57"/>
      <c r="H55" s="44"/>
    </row>
    <row r="56" spans="1:9" s="55" customFormat="1" x14ac:dyDescent="0.25">
      <c r="A56" s="44">
        <v>35</v>
      </c>
      <c r="B56" s="44" t="s">
        <v>181</v>
      </c>
      <c r="C56" s="44" t="s">
        <v>123</v>
      </c>
      <c r="F56" s="56" t="s">
        <v>150</v>
      </c>
      <c r="G56" s="58" t="s">
        <v>295</v>
      </c>
      <c r="H56" s="44" t="s">
        <v>296</v>
      </c>
    </row>
    <row r="57" spans="1:9" s="55" customFormat="1" x14ac:dyDescent="0.25">
      <c r="A57" s="44">
        <v>36</v>
      </c>
      <c r="B57" s="44" t="s">
        <v>78</v>
      </c>
      <c r="C57" s="44" t="s">
        <v>124</v>
      </c>
      <c r="F57" s="56" t="s">
        <v>150</v>
      </c>
      <c r="G57" s="37" t="s">
        <v>293</v>
      </c>
      <c r="H57" s="44" t="s">
        <v>294</v>
      </c>
    </row>
    <row r="58" spans="1:9" s="51" customFormat="1" x14ac:dyDescent="0.25">
      <c r="A58" s="26">
        <v>37</v>
      </c>
      <c r="B58" s="26" t="s">
        <v>182</v>
      </c>
      <c r="C58" s="26" t="s">
        <v>125</v>
      </c>
      <c r="F58" s="52" t="s">
        <v>180</v>
      </c>
      <c r="G58" s="57" t="s">
        <v>228</v>
      </c>
      <c r="H58" s="26" t="s">
        <v>270</v>
      </c>
    </row>
    <row r="59" spans="1:9" s="51" customFormat="1" x14ac:dyDescent="0.25">
      <c r="A59" s="26">
        <v>38</v>
      </c>
      <c r="B59" s="26" t="s">
        <v>183</v>
      </c>
      <c r="C59" s="26" t="s">
        <v>126</v>
      </c>
      <c r="F59" s="52" t="s">
        <v>150</v>
      </c>
      <c r="G59" s="57" t="s">
        <v>229</v>
      </c>
      <c r="H59" s="26" t="s">
        <v>269</v>
      </c>
    </row>
    <row r="60" spans="1:9" s="51" customFormat="1" x14ac:dyDescent="0.25">
      <c r="A60" s="26">
        <v>39</v>
      </c>
      <c r="B60" s="26" t="s">
        <v>79</v>
      </c>
      <c r="C60" s="26" t="s">
        <v>127</v>
      </c>
      <c r="F60" s="52" t="s">
        <v>184</v>
      </c>
      <c r="G60" s="57" t="s">
        <v>230</v>
      </c>
      <c r="H60" s="26" t="s">
        <v>267</v>
      </c>
    </row>
    <row r="61" spans="1:9" s="51" customFormat="1" x14ac:dyDescent="0.25">
      <c r="A61" s="26">
        <v>40</v>
      </c>
      <c r="B61" s="26" t="s">
        <v>80</v>
      </c>
      <c r="C61" s="26" t="s">
        <v>128</v>
      </c>
      <c r="F61" s="52" t="s">
        <v>184</v>
      </c>
      <c r="G61" s="57" t="s">
        <v>231</v>
      </c>
      <c r="H61" s="26" t="s">
        <v>268</v>
      </c>
    </row>
    <row r="62" spans="1:9" s="51" customFormat="1" x14ac:dyDescent="0.25">
      <c r="A62" s="26">
        <v>41</v>
      </c>
      <c r="B62" s="26" t="s">
        <v>81</v>
      </c>
      <c r="C62" s="26" t="s">
        <v>272</v>
      </c>
      <c r="F62" s="52" t="s">
        <v>185</v>
      </c>
      <c r="G62" s="57" t="s">
        <v>271</v>
      </c>
      <c r="H62" s="26" t="s">
        <v>273</v>
      </c>
    </row>
    <row r="63" spans="1:9" s="55" customFormat="1" x14ac:dyDescent="0.25">
      <c r="A63" s="44">
        <v>42</v>
      </c>
      <c r="B63" s="44" t="s">
        <v>82</v>
      </c>
      <c r="C63" s="44" t="s">
        <v>129</v>
      </c>
      <c r="F63" s="56" t="s">
        <v>186</v>
      </c>
      <c r="G63" s="57" t="s">
        <v>301</v>
      </c>
      <c r="H63" s="44" t="s">
        <v>299</v>
      </c>
    </row>
    <row r="64" spans="1:9" s="55" customFormat="1" x14ac:dyDescent="0.25">
      <c r="A64" s="44">
        <v>43</v>
      </c>
      <c r="B64" s="44" t="s">
        <v>83</v>
      </c>
      <c r="C64" s="44" t="s">
        <v>130</v>
      </c>
      <c r="F64" s="56" t="s">
        <v>184</v>
      </c>
      <c r="G64" s="57" t="s">
        <v>302</v>
      </c>
      <c r="H64" s="44" t="s">
        <v>300</v>
      </c>
    </row>
    <row r="65" spans="1:8" s="51" customFormat="1" x14ac:dyDescent="0.25">
      <c r="A65" s="26">
        <v>44</v>
      </c>
      <c r="B65" s="26" t="s">
        <v>187</v>
      </c>
      <c r="C65" s="26" t="s">
        <v>131</v>
      </c>
      <c r="F65" s="52" t="s">
        <v>188</v>
      </c>
      <c r="G65" s="57" t="s">
        <v>303</v>
      </c>
      <c r="H65" s="26" t="s">
        <v>244</v>
      </c>
    </row>
    <row r="66" spans="1:8" s="51" customFormat="1" x14ac:dyDescent="0.25">
      <c r="A66" s="26">
        <v>45</v>
      </c>
      <c r="B66" s="26" t="s">
        <v>84</v>
      </c>
      <c r="C66" s="26" t="s">
        <v>132</v>
      </c>
      <c r="F66" s="52" t="s">
        <v>188</v>
      </c>
      <c r="G66" s="57" t="s">
        <v>304</v>
      </c>
      <c r="H66" s="26" t="s">
        <v>265</v>
      </c>
    </row>
    <row r="67" spans="1:8" s="51" customFormat="1" x14ac:dyDescent="0.25">
      <c r="A67" s="26">
        <v>46</v>
      </c>
      <c r="B67" s="26" t="s">
        <v>85</v>
      </c>
      <c r="C67" s="26" t="s">
        <v>133</v>
      </c>
      <c r="F67" s="52" t="s">
        <v>188</v>
      </c>
      <c r="G67" s="57" t="s">
        <v>305</v>
      </c>
      <c r="H67" s="26" t="s">
        <v>266</v>
      </c>
    </row>
    <row r="68" spans="1:8" s="51" customFormat="1" x14ac:dyDescent="0.25">
      <c r="A68" s="26">
        <v>47</v>
      </c>
      <c r="B68" s="26" t="s">
        <v>86</v>
      </c>
      <c r="C68" s="26" t="s">
        <v>134</v>
      </c>
      <c r="F68" s="52" t="s">
        <v>154</v>
      </c>
      <c r="G68" s="34" t="s">
        <v>211</v>
      </c>
      <c r="H68" s="26" t="s">
        <v>250</v>
      </c>
    </row>
    <row r="69" spans="1:8" s="51" customFormat="1" x14ac:dyDescent="0.25">
      <c r="A69" s="26">
        <v>48</v>
      </c>
      <c r="B69" s="26" t="s">
        <v>87</v>
      </c>
      <c r="C69" s="26" t="s">
        <v>135</v>
      </c>
      <c r="F69" s="52" t="s">
        <v>154</v>
      </c>
      <c r="G69" s="34" t="s">
        <v>212</v>
      </c>
      <c r="H69" s="26" t="s">
        <v>251</v>
      </c>
    </row>
    <row r="70" spans="1:8" s="51" customFormat="1" x14ac:dyDescent="0.25">
      <c r="A70" s="26">
        <v>49</v>
      </c>
      <c r="B70" s="26" t="s">
        <v>88</v>
      </c>
      <c r="C70" s="26" t="s">
        <v>136</v>
      </c>
      <c r="F70" s="52" t="s">
        <v>189</v>
      </c>
      <c r="G70" s="34" t="s">
        <v>213</v>
      </c>
      <c r="H70" s="26" t="s">
        <v>263</v>
      </c>
    </row>
    <row r="71" spans="1:8" s="51" customFormat="1" x14ac:dyDescent="0.25">
      <c r="A71" s="26">
        <v>50</v>
      </c>
      <c r="B71" s="26" t="s">
        <v>89</v>
      </c>
      <c r="C71" s="26" t="s">
        <v>137</v>
      </c>
      <c r="F71" s="52" t="s">
        <v>186</v>
      </c>
      <c r="G71" s="34" t="s">
        <v>214</v>
      </c>
      <c r="H71" s="26" t="s">
        <v>264</v>
      </c>
    </row>
    <row r="72" spans="1:8" s="51" customFormat="1" x14ac:dyDescent="0.25">
      <c r="A72" s="26">
        <v>51</v>
      </c>
      <c r="B72" s="26" t="s">
        <v>90</v>
      </c>
      <c r="C72" s="26" t="s">
        <v>138</v>
      </c>
      <c r="F72" s="52" t="s">
        <v>186</v>
      </c>
      <c r="G72" s="34" t="s">
        <v>215</v>
      </c>
      <c r="H72" s="26" t="s">
        <v>262</v>
      </c>
    </row>
    <row r="73" spans="1:8" s="51" customFormat="1" x14ac:dyDescent="0.25">
      <c r="A73" s="26">
        <v>52</v>
      </c>
      <c r="B73" s="26" t="s">
        <v>91</v>
      </c>
      <c r="C73" s="26" t="s">
        <v>139</v>
      </c>
      <c r="F73" s="52" t="s">
        <v>189</v>
      </c>
      <c r="G73" s="34" t="s">
        <v>216</v>
      </c>
      <c r="H73" s="26" t="s">
        <v>261</v>
      </c>
    </row>
    <row r="74" spans="1:8" s="51" customFormat="1" x14ac:dyDescent="0.25">
      <c r="A74" s="26">
        <v>53</v>
      </c>
      <c r="B74" s="26" t="s">
        <v>92</v>
      </c>
      <c r="C74" s="26" t="s">
        <v>259</v>
      </c>
      <c r="F74" s="52" t="s">
        <v>185</v>
      </c>
      <c r="G74" s="34" t="s">
        <v>217</v>
      </c>
      <c r="H74" s="51" t="s">
        <v>260</v>
      </c>
    </row>
    <row r="75" spans="1:8" x14ac:dyDescent="0.25">
      <c r="A75" s="12"/>
      <c r="G75" s="36"/>
    </row>
    <row r="76" spans="1:8" x14ac:dyDescent="0.25">
      <c r="A76" s="12"/>
    </row>
    <row r="77" spans="1:8" x14ac:dyDescent="0.25">
      <c r="A77" s="12"/>
    </row>
    <row r="78" spans="1:8" x14ac:dyDescent="0.25">
      <c r="A78" s="12"/>
    </row>
    <row r="79" spans="1:8" x14ac:dyDescent="0.25">
      <c r="A79" s="12"/>
    </row>
    <row r="80" spans="1:8" x14ac:dyDescent="0.25">
      <c r="A80" s="12"/>
    </row>
    <row r="81" spans="1:1" x14ac:dyDescent="0.25">
      <c r="A81" s="12"/>
    </row>
    <row r="82" spans="1:1" x14ac:dyDescent="0.25">
      <c r="A82" s="12"/>
    </row>
    <row r="83" spans="1:1" x14ac:dyDescent="0.25">
      <c r="A83" s="12"/>
    </row>
    <row r="84" spans="1:1" x14ac:dyDescent="0.25">
      <c r="A84" s="12"/>
    </row>
    <row r="85" spans="1:1" x14ac:dyDescent="0.25">
      <c r="A85" s="12"/>
    </row>
    <row r="86" spans="1:1" x14ac:dyDescent="0.25">
      <c r="A86" s="12"/>
    </row>
    <row r="87" spans="1:1" x14ac:dyDescent="0.25">
      <c r="A87" s="12"/>
    </row>
    <row r="88" spans="1:1" x14ac:dyDescent="0.25">
      <c r="A88" s="12"/>
    </row>
    <row r="89" spans="1:1" x14ac:dyDescent="0.25">
      <c r="A89" s="12"/>
    </row>
    <row r="90" spans="1:1" x14ac:dyDescent="0.25">
      <c r="A90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100" workbookViewId="0">
      <selection activeCell="B8" sqref="B8"/>
    </sheetView>
  </sheetViews>
  <sheetFormatPr defaultColWidth="8.85546875" defaultRowHeight="15" x14ac:dyDescent="0.25"/>
  <cols>
    <col min="1" max="1" width="8" style="20" bestFit="1" customWidth="1"/>
    <col min="2" max="2" width="10.85546875" style="20" customWidth="1"/>
    <col min="3" max="3" width="10" style="20" bestFit="1" customWidth="1"/>
    <col min="4" max="4" width="39.5703125" style="20" bestFit="1" customWidth="1"/>
    <col min="5" max="5" width="67.7109375" style="20" customWidth="1"/>
    <col min="6" max="16384" width="8.85546875" style="20"/>
  </cols>
  <sheetData>
    <row r="1" spans="1:5" x14ac:dyDescent="0.25">
      <c r="A1" s="19"/>
      <c r="B1" s="19" t="s">
        <v>41</v>
      </c>
      <c r="C1" s="29" t="str">
        <f>+"http://10.11.62.82:28080/IRIS/api/v1.0.0/party/"&amp;規格!$C$1</f>
        <v>http://10.11.62.82:28080/IRIS/api/v1.0.0/party/ED0011</v>
      </c>
      <c r="E1" s="18"/>
    </row>
    <row r="2" spans="1:5" x14ac:dyDescent="0.25">
      <c r="A2" s="18"/>
      <c r="B2" s="18" t="s">
        <v>42</v>
      </c>
      <c r="C2" s="29" t="str">
        <f>+"http://10.11.62.82:58080/IRIS/api/v1.0.0/party/"&amp;規格!$C$1</f>
        <v>http://10.11.62.82:58080/IRIS/api/v1.0.0/party/ED0011</v>
      </c>
      <c r="E2" s="18"/>
    </row>
    <row r="3" spans="1:5" x14ac:dyDescent="0.25">
      <c r="B3" s="21" t="s">
        <v>28</v>
      </c>
      <c r="C3" s="22" t="s">
        <v>29</v>
      </c>
      <c r="D3" s="22" t="s">
        <v>30</v>
      </c>
      <c r="E3" s="23" t="s">
        <v>19</v>
      </c>
    </row>
    <row r="4" spans="1:5" ht="408.4" customHeight="1" x14ac:dyDescent="0.25">
      <c r="B4" s="24" t="s">
        <v>31</v>
      </c>
      <c r="C4" s="24"/>
      <c r="D4" s="25" t="s">
        <v>142</v>
      </c>
      <c r="E4" s="28" t="s">
        <v>143</v>
      </c>
    </row>
    <row r="5" spans="1:5" ht="409.5" x14ac:dyDescent="0.25">
      <c r="B5" s="24" t="s">
        <v>31</v>
      </c>
      <c r="C5" s="24"/>
      <c r="D5" s="28" t="s">
        <v>190</v>
      </c>
      <c r="E5" s="28" t="s">
        <v>191</v>
      </c>
    </row>
    <row r="6" spans="1:5" ht="409.5" x14ac:dyDescent="0.25">
      <c r="B6" s="24" t="s">
        <v>31</v>
      </c>
      <c r="C6" s="24"/>
      <c r="D6" s="33" t="s">
        <v>193</v>
      </c>
      <c r="E6" s="28" t="s">
        <v>192</v>
      </c>
    </row>
    <row r="7" spans="1:5" ht="270" x14ac:dyDescent="0.25">
      <c r="B7" s="24" t="s">
        <v>31</v>
      </c>
      <c r="C7" s="24"/>
      <c r="D7" s="33" t="s">
        <v>196</v>
      </c>
      <c r="E7" s="28" t="s">
        <v>195</v>
      </c>
    </row>
    <row r="8" spans="1:5" ht="409.5" x14ac:dyDescent="0.25">
      <c r="B8" s="24" t="s">
        <v>31</v>
      </c>
      <c r="C8" s="24"/>
      <c r="D8" s="33" t="s">
        <v>197</v>
      </c>
      <c r="E8" s="28" t="s">
        <v>198</v>
      </c>
    </row>
  </sheetData>
  <phoneticPr fontId="3" type="noConversion"/>
  <hyperlinks>
    <hyperlink ref="C1" r:id="rId1" display="http://10.11.62.82:28080/IRIS/api/v1.0.0/party/EL0099" xr:uid="{A746E610-04A6-4B44-980B-D56AEADFCB6E}"/>
    <hyperlink ref="C2" r:id="rId2" display="http://10.11.62.82:28080/IRIS/api/v1.0.0/party/EL0099" xr:uid="{B34C8FA5-ECD0-4579-8E76-F1A9BDC4FAB2}"/>
  </hyperlinks>
  <pageMargins left="0.7" right="0.7" top="0.75" bottom="0.75" header="0.3" footer="0.3"/>
  <pageSetup orientation="portrait" r:id="rId3"/>
  <drawing r:id="rId4"/>
  <legacyDrawing r:id="rId5"/>
  <oleObjects>
    <mc:AlternateContent xmlns:mc="http://schemas.openxmlformats.org/markup-compatibility/2006">
      <mc:Choice Requires="x14">
        <oleObject progId="封裝程式殼層物件" dvAspect="DVASPECT_ICON" shapeId="3073" r:id="rId6">
          <objectPr defaultSize="0" r:id="rId7">
            <anchor moveWithCells="1">
              <from>
                <xdr:col>5</xdr:col>
                <xdr:colOff>85725</xdr:colOff>
                <xdr:row>6</xdr:row>
                <xdr:rowOff>123825</xdr:rowOff>
              </from>
              <to>
                <xdr:col>7</xdr:col>
                <xdr:colOff>209550</xdr:colOff>
                <xdr:row>6</xdr:row>
                <xdr:rowOff>638175</xdr:rowOff>
              </to>
            </anchor>
          </objectPr>
        </oleObject>
      </mc:Choice>
      <mc:Fallback>
        <oleObject progId="封裝程式殼層物件" dvAspect="DVASPECT_ICON" shapeId="3073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50923C-95A5-44F6-BCC1-6F9FBFEF8573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73E1F2C-DEDD-49FE-8070-22576CAA28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修改歷程</vt:lpstr>
      <vt:lpstr>規格</vt:lpstr>
      <vt:lpstr>JSON Request-Response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楊怡娟-核心應用部-永豐銀行</cp:lastModifiedBy>
  <cp:revision/>
  <dcterms:created xsi:type="dcterms:W3CDTF">2020-03-13T10:54:50Z</dcterms:created>
  <dcterms:modified xsi:type="dcterms:W3CDTF">2022-10-07T03:10:31Z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