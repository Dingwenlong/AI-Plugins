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需求\202208020065 新世代網路銀行建置專案\202503\"/>
    </mc:Choice>
  </mc:AlternateContent>
  <xr:revisionPtr revIDLastSave="0" documentId="13_ncr:1_{E7EAE651-BBBB-420C-AA0E-731C37884746}" xr6:coauthVersionLast="47" xr6:coauthVersionMax="47" xr10:uidLastSave="{00000000-0000-0000-0000-000000000000}"/>
  <bookViews>
    <workbookView xWindow="-120" yWindow="-120" windowWidth="29040" windowHeight="15840" tabRatio="656" activeTab="1" xr2:uid="{00000000-000D-0000-FFFF-FFFF00000000}"/>
  </bookViews>
  <sheets>
    <sheet name="修改歷程" sheetId="7" r:id="rId1"/>
    <sheet name="規格" sheetId="8" r:id="rId2"/>
    <sheet name="JSON Request-Response " sheetId="6" r:id="rId3"/>
    <sheet name="職稱&amp;子職業下拉選項" sheetId="11" r:id="rId4"/>
  </sheets>
  <externalReferences>
    <externalReference r:id="rId5"/>
    <externalReference r:id="rId6"/>
    <externalReference r:id="rId7"/>
  </externalReferences>
  <definedNames>
    <definedName name="_DD" localSheetId="3">#REF!</definedName>
    <definedName name="_DD">#REF!</definedName>
    <definedName name="_xlnm._FilterDatabase" localSheetId="3">#REF!</definedName>
    <definedName name="_xlnm._FilterDatabase">#REF!</definedName>
    <definedName name="AS2DocOpenMode" hidden="1">"AS2DocumentEdit"</definedName>
    <definedName name="CostPerHour" localSheetId="3">#REF!</definedName>
    <definedName name="CostPerHour">#REF!</definedName>
    <definedName name="ExternalLaborHours" localSheetId="3">#REF!</definedName>
    <definedName name="ExternalLaborHours">#REF!</definedName>
    <definedName name="field">'[1]2. Client Data Fields'!$G$1:$G$2</definedName>
    <definedName name="FinancialData" localSheetId="3">#REF!</definedName>
    <definedName name="FinancialData">#REF!</definedName>
    <definedName name="mandatory">'[1]2. Client Data Fields'!$F$1:$F$3</definedName>
    <definedName name="pay">#REF!</definedName>
    <definedName name="QNE" localSheetId="3">#REF!</definedName>
    <definedName name="QNE">#REF!</definedName>
    <definedName name="support">'[1]1. System Information'!$D$1:$D$3</definedName>
    <definedName name="T24_下行電文_TMB.LN.MAIN.ACCT" localSheetId="3">[2]目錄!#REF!</definedName>
    <definedName name="test" localSheetId="3">#REF!</definedName>
    <definedName name="test">#REF!</definedName>
    <definedName name="XREF_COLUMN_2" hidden="1">#REF!</definedName>
    <definedName name="XRefActiveRow" hidden="1">#REF!</definedName>
    <definedName name="XRefColumnsCount" hidden="1">2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RangeCount" hidden="1">4</definedName>
    <definedName name="XRefPaste2" hidden="1">#REF!</definedName>
    <definedName name="XRefPaste2Row" hidden="1">#REF!</definedName>
    <definedName name="XRefPasteRangeCount" hidden="1">2</definedName>
    <definedName name="yesno">'[1]2. Client Data Fields'!$H$1:$H$2</definedName>
    <definedName name="YN" localSheetId="3">#REF!</definedName>
    <definedName name="YN">#REF!</definedName>
    <definedName name="YNna" localSheetId="3">#REF!</definedName>
    <definedName name="YNna">#REF!</definedName>
    <definedName name="同金" localSheetId="3">#REF!</definedName>
    <definedName name="同金">#REF!</definedName>
    <definedName name="放款">#REF!</definedName>
    <definedName name="微軟正黑體" localSheetId="3">#REF!</definedName>
    <definedName name="微軟正黑體">#REF!</definedName>
    <definedName name="說明" localSheetId="3">#REF!</definedName>
    <definedName name="說明">#REF!</definedName>
    <definedName name="澳門分行放款">#REF!</definedName>
    <definedName name="職業">[3]職業!$B$2:$B$30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6" l="1"/>
  <c r="C1" i="6"/>
  <c r="C8" i="8"/>
  <c r="C3" i="8" l="1"/>
</calcChain>
</file>

<file path=xl/sharedStrings.xml><?xml version="1.0" encoding="utf-8"?>
<sst xmlns="http://schemas.openxmlformats.org/spreadsheetml/2006/main" count="459" uniqueCount="343">
  <si>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5" type="noConversion"/>
  </si>
  <si>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</si>
  <si>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</si>
  <si>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</si>
  <si>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</si>
  <si>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</si>
  <si>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</si>
  <si>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</si>
  <si>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</si>
  <si>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</si>
  <si>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帳戶主檔變更</t>
  </si>
  <si>
    <t>URL</t>
    <phoneticPr fontId="5" type="noConversion"/>
  </si>
  <si>
    <t>Header</t>
    <phoneticPr fontId="5" type="noConversion"/>
  </si>
  <si>
    <t>METHOD (GET/POST/PUT/DELETE)</t>
    <phoneticPr fontId="5" type="noConversion"/>
  </si>
  <si>
    <t>ENQ / TXN / AAA</t>
    <phoneticPr fontId="5" type="noConversion"/>
  </si>
  <si>
    <t>TXN</t>
  </si>
  <si>
    <t>Original Version ID</t>
    <phoneticPr fontId="5" type="noConversion"/>
  </si>
  <si>
    <t>Version ID</t>
    <phoneticPr fontId="5" type="noConversion"/>
  </si>
  <si>
    <t>File Name</t>
  </si>
  <si>
    <t>Activity</t>
    <phoneticPr fontId="5" type="noConversion"/>
  </si>
  <si>
    <t>N/A</t>
    <phoneticPr fontId="5" type="noConversion"/>
  </si>
  <si>
    <t>No</t>
  </si>
  <si>
    <t>FIND.FIELD</t>
  </si>
  <si>
    <t>Length</t>
  </si>
  <si>
    <t>Mapping T24 Table</t>
  </si>
  <si>
    <t>NETBANK</t>
    <phoneticPr fontId="5" type="noConversion"/>
  </si>
  <si>
    <t>MOBILE</t>
    <phoneticPr fontId="5" type="noConversion"/>
  </si>
  <si>
    <t>METHOD</t>
    <phoneticPr fontId="5" type="noConversion"/>
  </si>
  <si>
    <t>Function</t>
    <phoneticPr fontId="5" type="noConversion"/>
  </si>
  <si>
    <t>Request json</t>
    <phoneticPr fontId="5" type="noConversion"/>
  </si>
  <si>
    <t>Response json</t>
  </si>
  <si>
    <t>GET</t>
    <phoneticPr fontId="5" type="noConversion"/>
  </si>
  <si>
    <t>PUT</t>
  </si>
  <si>
    <t>INPUT</t>
    <phoneticPr fontId="5" type="noConversion"/>
  </si>
  <si>
    <t>AUTH</t>
  </si>
  <si>
    <t>IC0002</t>
    <phoneticPr fontId="5" type="noConversion"/>
  </si>
  <si>
    <t>CUSTOMER,TMBI.AMEND</t>
    <phoneticPr fontId="5" type="noConversion"/>
  </si>
  <si>
    <t>API Vocabulary</t>
  </si>
  <si>
    <t>PROMPT.TEXT / COMMENTS</t>
  </si>
  <si>
    <t>Single Multi</t>
  </si>
  <si>
    <t>Request</t>
  </si>
  <si>
    <t>Response</t>
  </si>
  <si>
    <t>Mandatory</t>
  </si>
  <si>
    <t>Drawdown List</t>
  </si>
  <si>
    <t>Description</t>
  </si>
  <si>
    <t>Field Description</t>
  </si>
  <si>
    <t>欄位名稱</t>
  </si>
  <si>
    <t>對應API Vocabalary</t>
  </si>
  <si>
    <t>分組 Group name</t>
  </si>
  <si>
    <t>Single(空白)，Multi(XX&lt;,XX-,XX&gt;)</t>
  </si>
  <si>
    <t>欄位長度+(靠左L,靠右R)</t>
  </si>
  <si>
    <t>Request可輸欄位</t>
  </si>
  <si>
    <t>Response顯示欄位</t>
  </si>
  <si>
    <t>必輸欄位</t>
  </si>
  <si>
    <t>對應T24表</t>
  </si>
  <si>
    <t>下拉選項</t>
  </si>
  <si>
    <t>欄位說明(中文)</t>
  </si>
  <si>
    <t>欄位說明(英文)</t>
  </si>
  <si>
    <t>XX&lt;</t>
    <phoneticPr fontId="5" type="noConversion"/>
  </si>
  <si>
    <t>XX-</t>
    <phoneticPr fontId="5" type="noConversion"/>
  </si>
  <si>
    <t>XX&gt;</t>
    <phoneticPr fontId="5" type="noConversion"/>
  </si>
  <si>
    <t>XX.</t>
    <phoneticPr fontId="5" type="noConversion"/>
  </si>
  <si>
    <t>TPhone</t>
  </si>
  <si>
    <t>TPhoneType</t>
  </si>
  <si>
    <t>TPhoneSign</t>
  </si>
  <si>
    <t>TEmail</t>
  </si>
  <si>
    <t>TmnSms1</t>
  </si>
  <si>
    <t>TSmsSign</t>
  </si>
  <si>
    <t>TEmailSign</t>
  </si>
  <si>
    <t>TAddr2Sign</t>
  </si>
  <si>
    <t>TPostCode</t>
  </si>
  <si>
    <t>TAddress</t>
  </si>
  <si>
    <t>TTownCountry</t>
  </si>
  <si>
    <t>TCountry</t>
  </si>
  <si>
    <t>TCnsDlvType</t>
  </si>
  <si>
    <t>TUpdCcTel</t>
  </si>
  <si>
    <t>TUpdCcMp</t>
  </si>
  <si>
    <t>TUpdCcEmail</t>
  </si>
  <si>
    <t>TUpdCcAddr</t>
  </si>
  <si>
    <t>TSaleStatus</t>
  </si>
  <si>
    <t>TSaleStatus2</t>
  </si>
  <si>
    <t>TSaleStatus3</t>
  </si>
  <si>
    <t>TSaleStatus4</t>
  </si>
  <si>
    <t>TSaleStatus5</t>
  </si>
  <si>
    <t>TUpdCcAddr2</t>
  </si>
  <si>
    <t>TSaleStatus6</t>
  </si>
  <si>
    <t>TSaleStatus7</t>
  </si>
  <si>
    <t>TDegree</t>
  </si>
  <si>
    <t>v</t>
    <phoneticPr fontId="5" type="noConversion"/>
  </si>
  <si>
    <t>T.PHONE</t>
    <phoneticPr fontId="5" type="noConversion"/>
  </si>
  <si>
    <t>T.PHONE.TYPE</t>
    <phoneticPr fontId="5" type="noConversion"/>
  </si>
  <si>
    <t>T.PHONE.SIGN</t>
    <phoneticPr fontId="5" type="noConversion"/>
  </si>
  <si>
    <t>T.EMAIL</t>
    <phoneticPr fontId="5" type="noConversion"/>
  </si>
  <si>
    <t>SMS.1</t>
    <phoneticPr fontId="5" type="noConversion"/>
  </si>
  <si>
    <t xml:space="preserve">	T.SMS.SIGN</t>
    <phoneticPr fontId="5" type="noConversion"/>
  </si>
  <si>
    <t>T.EMAIL.SIGN</t>
    <phoneticPr fontId="5" type="noConversion"/>
  </si>
  <si>
    <t>T.ADDR2.SIGN</t>
    <phoneticPr fontId="5" type="noConversion"/>
  </si>
  <si>
    <t>T.POST.CODE</t>
    <phoneticPr fontId="5" type="noConversion"/>
  </si>
  <si>
    <t>T.ADDRESS</t>
    <phoneticPr fontId="5" type="noConversion"/>
  </si>
  <si>
    <t>T.TOWN.COUNTRY</t>
    <phoneticPr fontId="5" type="noConversion"/>
  </si>
  <si>
    <t>T.COUNTRY</t>
    <phoneticPr fontId="5" type="noConversion"/>
  </si>
  <si>
    <t>T.UPD.CC.TEL</t>
    <phoneticPr fontId="5" type="noConversion"/>
  </si>
  <si>
    <t xml:space="preserve">	T.UPD.CC.MP</t>
    <phoneticPr fontId="5" type="noConversion"/>
  </si>
  <si>
    <t xml:space="preserve">	T.UPD.CC.EMAIL</t>
    <phoneticPr fontId="5" type="noConversion"/>
  </si>
  <si>
    <t xml:space="preserve">	T.UPD.CC.ADDR</t>
    <phoneticPr fontId="5" type="noConversion"/>
  </si>
  <si>
    <t>T.SALE.STATUS</t>
    <phoneticPr fontId="5" type="noConversion"/>
  </si>
  <si>
    <t>T.CNS.DLV.TYPE</t>
    <phoneticPr fontId="5" type="noConversion"/>
  </si>
  <si>
    <t>T.SALE.STATUS2</t>
    <phoneticPr fontId="5" type="noConversion"/>
  </si>
  <si>
    <t>T.SALE.STATUS3</t>
    <phoneticPr fontId="5" type="noConversion"/>
  </si>
  <si>
    <t>T.SALE.STATUS4</t>
    <phoneticPr fontId="5" type="noConversion"/>
  </si>
  <si>
    <t>T.SALE.STATUS5</t>
    <phoneticPr fontId="5" type="noConversion"/>
  </si>
  <si>
    <t>T.SALE.STATUS6</t>
    <phoneticPr fontId="5" type="noConversion"/>
  </si>
  <si>
    <t>T.SALE.STATUS7</t>
    <phoneticPr fontId="5" type="noConversion"/>
  </si>
  <si>
    <t xml:space="preserve">	T.UPD.CC.ADDR2</t>
    <phoneticPr fontId="5" type="noConversion"/>
  </si>
  <si>
    <t>T.DEGREE</t>
    <phoneticPr fontId="5" type="noConversion"/>
  </si>
  <si>
    <t>電話號碼</t>
    <phoneticPr fontId="5" type="noConversion"/>
  </si>
  <si>
    <t>電話類別</t>
  </si>
  <si>
    <t>API KEY (代號)</t>
    <phoneticPr fontId="5" type="noConversion"/>
  </si>
  <si>
    <t>交易名稱</t>
    <phoneticPr fontId="5" type="noConversion"/>
  </si>
  <si>
    <t>id
companyId: 分行別
credentials: 帳號/密碼
numberOfAuthorisers: 授權人數
validate_only: 驗證模式(true,false)</t>
    <phoneticPr fontId="5" type="noConversion"/>
  </si>
  <si>
    <t>1.戶籍電話 
2.住家電話 
3.通訊電話 
4.公司電話 
5.行動電話 
6.服務機構電話一
7.服務機構電話二
8.其他電話</t>
    <phoneticPr fontId="5" type="noConversion"/>
  </si>
  <si>
    <t>共同行銷/合作推廣記號 永豐投信</t>
    <phoneticPr fontId="5" type="noConversion"/>
  </si>
  <si>
    <t xml:space="preserve">	學歷</t>
    <phoneticPr fontId="5" type="noConversion"/>
  </si>
  <si>
    <t>電話失聯記號</t>
    <phoneticPr fontId="5" type="noConversion"/>
  </si>
  <si>
    <t>E-MAIL</t>
    <phoneticPr fontId="5" type="noConversion"/>
  </si>
  <si>
    <t>Phone Type</t>
    <phoneticPr fontId="5" type="noConversion"/>
  </si>
  <si>
    <t>Phone Lose Sign</t>
    <phoneticPr fontId="5" type="noConversion"/>
  </si>
  <si>
    <t>簡訊行動電話號碼</t>
    <phoneticPr fontId="5" type="noConversion"/>
  </si>
  <si>
    <t>1.正常
2.失聯</t>
    <phoneticPr fontId="5" type="noConversion"/>
  </si>
  <si>
    <t>簡訊行動電話失聯記號</t>
    <phoneticPr fontId="5" type="noConversion"/>
  </si>
  <si>
    <t>SMS</t>
    <phoneticPr fontId="5" type="noConversion"/>
  </si>
  <si>
    <t>SMS  Lose Sign</t>
    <phoneticPr fontId="5" type="noConversion"/>
  </si>
  <si>
    <t>E-MAIL失聯記號</t>
    <phoneticPr fontId="5" type="noConversion"/>
  </si>
  <si>
    <t>E-MAIL Lose Sign</t>
    <phoneticPr fontId="5" type="noConversion"/>
  </si>
  <si>
    <t>通訊/聯絡地址失聯記號</t>
    <phoneticPr fontId="5" type="noConversion"/>
  </si>
  <si>
    <t>Current addres Lose Sign</t>
    <phoneticPr fontId="5" type="noConversion"/>
  </si>
  <si>
    <t>通訊/聯絡地址(郵遞區號)</t>
    <phoneticPr fontId="5" type="noConversion"/>
  </si>
  <si>
    <t>Current address Post Code</t>
    <phoneticPr fontId="5" type="noConversion"/>
  </si>
  <si>
    <t>通訊/聯絡地址(1)</t>
    <phoneticPr fontId="5" type="noConversion"/>
  </si>
  <si>
    <t>通訊/聯絡地址(2)</t>
    <phoneticPr fontId="5" type="noConversion"/>
  </si>
  <si>
    <t>Current address1</t>
    <phoneticPr fontId="5" type="noConversion"/>
  </si>
  <si>
    <t>Current address2</t>
    <phoneticPr fontId="5" type="noConversion"/>
  </si>
  <si>
    <t>通訊/聯絡地址(縣市區域)</t>
    <phoneticPr fontId="5" type="noConversion"/>
  </si>
  <si>
    <t>Current address Town Country</t>
    <phoneticPr fontId="5" type="noConversion"/>
  </si>
  <si>
    <t>對帳單寄送記號</t>
    <phoneticPr fontId="5" type="noConversion"/>
  </si>
  <si>
    <t>0.實體郵寄
1.不寄送
2.E-mail</t>
    <phoneticPr fontId="5" type="noConversion"/>
  </si>
  <si>
    <t>Statement Send Sign</t>
    <phoneticPr fontId="5" type="noConversion"/>
  </si>
  <si>
    <t>異動信用卡/簽帳卡(住家電話)</t>
    <phoneticPr fontId="5" type="noConversion"/>
  </si>
  <si>
    <t>N.否
Y.是</t>
    <phoneticPr fontId="5" type="noConversion"/>
  </si>
  <si>
    <t>異動信用卡/簽帳卡(簡訊/行動電話)</t>
    <phoneticPr fontId="5" type="noConversion"/>
  </si>
  <si>
    <t>異動信用卡/簽帳卡(E-MAIL)</t>
    <phoneticPr fontId="5" type="noConversion"/>
  </si>
  <si>
    <t>異動信用卡/簽帳卡-現居地址</t>
    <phoneticPr fontId="5" type="noConversion"/>
  </si>
  <si>
    <t>異動信用卡/簽帳卡-帳單寄送地址</t>
    <phoneticPr fontId="5" type="noConversion"/>
  </si>
  <si>
    <t>共同行銷/合作推廣記號 永豐金證劵</t>
  </si>
  <si>
    <t>共同行銷/合作推廣記號 人身保代</t>
  </si>
  <si>
    <t>共同行銷/合作推廣記號 財產保代</t>
  </si>
  <si>
    <t>共同行銷/合作推廣記號 永豐期貨</t>
    <phoneticPr fontId="5" type="noConversion"/>
  </si>
  <si>
    <t>共同行銷/合作推廣記號 永豐創投</t>
    <phoneticPr fontId="5" type="noConversion"/>
  </si>
  <si>
    <t>共同行銷/合作推廣記號 永豐金租賃</t>
    <phoneticPr fontId="5" type="noConversion"/>
  </si>
  <si>
    <t>N.取消
Y.現居地址</t>
    <phoneticPr fontId="5" type="noConversion"/>
  </si>
  <si>
    <t>0.同意
1.僅姓名及地址
2.不同意
7.IBT合併前未表示意見
9.BSP合併前未表示意見</t>
    <phoneticPr fontId="5" type="noConversion"/>
  </si>
  <si>
    <t>0.同意
1.僅姓名及地址
2.不同意
9.BSP合併前未表示意見</t>
    <phoneticPr fontId="5" type="noConversion"/>
  </si>
  <si>
    <t>1.國中 (含)以下
2.高中
3.專科
4.大學
5.碩士
6.博士以上
7.其他</t>
    <phoneticPr fontId="5" type="noConversion"/>
  </si>
  <si>
    <t>Degree of education</t>
    <phoneticPr fontId="5" type="noConversion"/>
  </si>
  <si>
    <t>CustSaleStatus 4-Futures</t>
    <phoneticPr fontId="5" type="noConversion"/>
  </si>
  <si>
    <t>CustSaleStatus 5-Venture capita</t>
    <phoneticPr fontId="5" type="noConversion"/>
  </si>
  <si>
    <t>CustSaleStatus 2-Life insurance</t>
    <phoneticPr fontId="5" type="noConversion"/>
  </si>
  <si>
    <t>CustSaleStatus 3-Property insurance</t>
    <phoneticPr fontId="5" type="noConversion"/>
  </si>
  <si>
    <t>CustSaleStatus-Stock</t>
  </si>
  <si>
    <t>Phone</t>
    <phoneticPr fontId="5" type="noConversion"/>
  </si>
  <si>
    <t>Update Credit card -Phone</t>
    <phoneticPr fontId="5" type="noConversion"/>
  </si>
  <si>
    <t>Update Credit card -SMS</t>
    <phoneticPr fontId="5" type="noConversion"/>
  </si>
  <si>
    <t>Update Credit card -EMAIL</t>
    <phoneticPr fontId="5" type="noConversion"/>
  </si>
  <si>
    <t>Update Credit card -Current address</t>
    <phoneticPr fontId="5" type="noConversion"/>
  </si>
  <si>
    <t>Update Credit card -Bill address</t>
    <phoneticPr fontId="5" type="noConversion"/>
  </si>
  <si>
    <t>CustSaleStatus 7-Lease</t>
    <phoneticPr fontId="5" type="noConversion"/>
  </si>
  <si>
    <t>CustSaleStatus 6-Investment Trust</t>
    <phoneticPr fontId="5" type="noConversion"/>
  </si>
  <si>
    <t>共同行銷/合作推廣記號 永豐投顧</t>
    <phoneticPr fontId="5" type="noConversion"/>
  </si>
  <si>
    <t>CustSaleStatus 8-Investment advisor</t>
    <phoneticPr fontId="5" type="noConversion"/>
  </si>
  <si>
    <t>CUSTOMER</t>
    <phoneticPr fontId="5" type="noConversion"/>
  </si>
  <si>
    <t xml:space="preserve">INPUT
</t>
    <phoneticPr fontId="5" type="noConversion"/>
  </si>
  <si>
    <t>GET
PUT
POST
DELETE
POST (validate_only=true)</t>
    <phoneticPr fontId="5" type="noConversion"/>
  </si>
  <si>
    <t>TPhones</t>
    <phoneticPr fontId="5" type="noConversion"/>
  </si>
  <si>
    <t>TEmails</t>
    <phoneticPr fontId="5" type="noConversion"/>
  </si>
  <si>
    <t>TmnSms1s</t>
    <phoneticPr fontId="5" type="noConversion"/>
  </si>
  <si>
    <t>TPostCodes</t>
    <phoneticPr fontId="5" type="noConversion"/>
  </si>
  <si>
    <t>GET https://tw-t24ap-ut.test:58480/IRISMB/api/v1.0.0/party/IC0002/
credentials:GCM113035/123456A
companyId:TW8079999
ID:1000472</t>
    <phoneticPr fontId="5" type="noConversion"/>
  </si>
  <si>
    <t>GET https://tw-t24ap-ut.test:58480/IRISMB/api/v1.0.0/party/IC0002/
credentials:GCM113035/123456A
companyId:TW8079999
ID:F1324133310</t>
    <phoneticPr fontId="5" type="noConversion"/>
  </si>
  <si>
    <t>PUT https://tw-t24ap-ut.test:58480/IRISMB/api/v1.0.0/party/IC0002
ID:113035
credentials:GCM113035/123456A
companyId:TW8079999
numberOfAuthorisers: 1
{"body":{"Tphones": [
      {
        "TPhoneType": "1",
        "TPhoneSign": "1",
        "TPhone": "886-02-87612211"
      }]}}</t>
    <phoneticPr fontId="5" type="noConversion"/>
  </si>
  <si>
    <t>PUT https://tw-t24ap-ut.test:58480/IRISMB/api/v1.0.0/party/IC0002
ID:1000472
credentials:GCM113035/123456A
companyId:TW8079999
numberOfAuthorisers: 1
{"body":{"Tphones": [
      {
        "TPhoneType": "1",
        "TPhoneSign": "1",
        "TPhone": "886-02-87612211"
      }]}}</t>
    <phoneticPr fontId="5" type="noConversion"/>
  </si>
  <si>
    <t>PUT https://tw-t24ap-ut.test:58480/IRISMB/api/v1.0.0/party/IC0002
ID:12347
credentials:GCM113035/123456A
companyId:TW8079999
numberOfAuthorisers: 0
{"body":{"Tphones": [
      {
        "TPhoneType": "1",
        "TPhoneSign": "1",
        "TPhone": "886-02-87612211"
      }]}}</t>
    <phoneticPr fontId="5" type="noConversion"/>
  </si>
  <si>
    <t>PUT https://tw-t24ap-ut.test:58480/IRISMB/api/v1.0.0/party/IC0002/AUTH
ID:113035
credentials:GCM113035/123456A
companyId:TW8079999</t>
    <phoneticPr fontId="5" type="noConversion"/>
  </si>
  <si>
    <r>
      <t>(</t>
    </r>
    <r>
      <rPr>
        <sz val="9"/>
        <color theme="1"/>
        <rFont val="細明體"/>
        <family val="2"/>
        <charset val="136"/>
      </rPr>
      <t>用</t>
    </r>
    <r>
      <rPr>
        <sz val="9"/>
        <color theme="1"/>
        <rFont val="Calibri"/>
        <family val="2"/>
      </rPr>
      <t>CUSTOMER</t>
    </r>
    <r>
      <rPr>
        <sz val="9"/>
        <color theme="1"/>
        <rFont val="細明體"/>
        <family val="2"/>
        <charset val="136"/>
      </rPr>
      <t>的RECID)</t>
    </r>
    <phoneticPr fontId="5" type="noConversion"/>
  </si>
  <si>
    <r>
      <t xml:space="preserve">GET http://10.11.62.82:8080/IRIS/api/v1.0.0/party/IC0002/
credentials:GCM113035/123456AA
companyId:TW8079999
ID:113035
</t>
    </r>
    <r>
      <rPr>
        <sz val="9"/>
        <color theme="1"/>
        <rFont val="微軟正黑體"/>
        <family val="2"/>
        <charset val="136"/>
      </rPr>
      <t>回傳</t>
    </r>
    <r>
      <rPr>
        <sz val="9"/>
        <color theme="1"/>
        <rFont val="Calibri"/>
        <family val="2"/>
      </rPr>
      <t xml:space="preserve">
{
  "header": {
    "transactionStatus": "Live",
    "audit": {
      "T24_time": 439,
      "parse_time": 1,
      "responseParse_time": 1,
      "requestParse_time": 0,
      "versionNumber": "8"
    },
    "id": "1000472",
    "status": "success",
    "uniqueIdentifier": "IRISMB241909099349251.00"
  },
  "body": {
    "TmnOccupation": "7",
    "TSaleStatus": "0",
    "TAddr2Sign": "1",
    "TUpdCcEmail": "N",
    "TmnSms1s": [
      {
        "TSmsSign": "1",
        "TmnSms1": "886-09-11222333-"
      }
    ],
    "TmnEmployersName": "</t>
    </r>
    <r>
      <rPr>
        <sz val="9"/>
        <color theme="1"/>
        <rFont val="微軟正黑體"/>
        <family val="2"/>
        <charset val="136"/>
      </rPr>
      <t>銘原塑膠工業有限公司</t>
    </r>
    <r>
      <rPr>
        <sz val="9"/>
        <color theme="1"/>
        <rFont val="Calibri"/>
        <family val="2"/>
      </rPr>
      <t>",
    "TUpdCcMp": "N",
    "Tphones": [
      {
        "TPhoneType": "1",
        "TPhoneSign": "1",
        "TPhone": "886-02-87612288-"
      },
      {
        "TPhoneType": "2",
        "TPhoneSign": "1",
        "TPhone": "886-02-87612288-"
      },
      {
        "TPhoneType": "4",
        "TPhoneSign": "1",
        "TPhone": "886-02-87612288-"
      },
      {
        "TPhoneType": "5",
        "TPhoneSign": "1",
        "TPhone": "886-02-87612288-"
      },
      {
        "TPhoneType": "6",
        "TPhoneSign": "1",
        "TPhone": "886-02-87612288-"
      }
    ],
    "TUpdCcTel": "N",
    "TSmsChgdate": "20230705",
    "TPostCodes": [
      {
        "TAddress": "</t>
    </r>
    <r>
      <rPr>
        <sz val="9"/>
        <color theme="1"/>
        <rFont val="微軟正黑體"/>
        <family val="2"/>
        <charset val="136"/>
      </rPr>
      <t>建國北路二段</t>
    </r>
    <r>
      <rPr>
        <sz val="9"/>
        <color theme="1"/>
        <rFont val="Calibri"/>
        <family val="2"/>
      </rPr>
      <t>9-1</t>
    </r>
    <r>
      <rPr>
        <sz val="9"/>
        <color theme="1"/>
        <rFont val="微軟正黑體"/>
        <family val="2"/>
        <charset val="136"/>
      </rPr>
      <t>號</t>
    </r>
    <r>
      <rPr>
        <sz val="9"/>
        <color theme="1"/>
        <rFont val="Calibri"/>
        <family val="2"/>
      </rPr>
      <t>",
        "TPostCode": "10400",
        "TTownCountry": "</t>
    </r>
    <r>
      <rPr>
        <sz val="9"/>
        <color theme="1"/>
        <rFont val="微軟正黑體"/>
        <family val="2"/>
        <charset val="136"/>
      </rPr>
      <t>台北市中山區</t>
    </r>
    <r>
      <rPr>
        <sz val="9"/>
        <color theme="1"/>
        <rFont val="Calibri"/>
        <family val="2"/>
      </rPr>
      <t>"
      }
    ],
    "TDegree": "7",
    "TSaleStatus7": "1",
    "TWorkingAge": "0",
    "TSaleStatus8": "1",
    "TSaleStatus5": "1",
    "TSaleStatus6": "1",
    "TCnsDlvType": "1",
    "TSaleStatus3": "9",
    "TSaleStatus4": "1",
    "TSaleStatus2": "9",
    "TOccupation": "0798",
    "TmnMaritalStatus": "4",
    "TEmails": [
      {
        "TEmailSign": "1",
        "TEmail": "BANK@SINOPAC.COM"
      }
    ]
  }
}</t>
    </r>
    <phoneticPr fontId="5" type="noConversion"/>
  </si>
  <si>
    <r>
      <t>(</t>
    </r>
    <r>
      <rPr>
        <sz val="9"/>
        <color theme="1"/>
        <rFont val="細明體"/>
        <family val="2"/>
        <charset val="136"/>
      </rPr>
      <t>用</t>
    </r>
    <r>
      <rPr>
        <sz val="9"/>
        <color theme="1"/>
        <rFont val="Calibri"/>
        <family val="2"/>
      </rPr>
      <t>CUSTOMER</t>
    </r>
    <r>
      <rPr>
        <sz val="9"/>
        <color theme="1"/>
        <rFont val="細明體"/>
        <family val="2"/>
        <charset val="136"/>
      </rPr>
      <t>的T_Mnemonic)</t>
    </r>
    <phoneticPr fontId="5" type="noConversion"/>
  </si>
  <si>
    <r>
      <t>{
  "header": {
    "transactionStatus": "Live",
    "audit": {
      "T24_time": 165,
      "parse_time": 1,
      "responseParse_time": 1,
      "requestParse_time": 16,
      "versionNumber": "8"
    },
    "id": "1000472",
    "status": "success",
    "uniqueIdentifier": "IRISMB241904108849563.00"
  },
  "body": {
    "TmnOccupation": "7",
    "TSaleStatus": "0",
    "TAddr2Sign": "1",
    "TUpdCcEmail": "N",
    "TmnSms1s": [
      {
        "TSmsSign": "1",
        "TmnSms1": "886-09-11222333-"
      }
    ],
    "TmnEmployersName": "</t>
    </r>
    <r>
      <rPr>
        <sz val="9"/>
        <color theme="1"/>
        <rFont val="微軟正黑體"/>
        <family val="2"/>
        <charset val="136"/>
      </rPr>
      <t>銘原塑膠工業有限公司</t>
    </r>
    <r>
      <rPr>
        <sz val="9"/>
        <color theme="1"/>
        <rFont val="Calibri"/>
        <family val="2"/>
      </rPr>
      <t>",
    "TUpdCcMp": "N",
    "Tphones": [
      {
        "TPhoneType": "1",
        "TPhoneSign": "1",
        "TPhone": "886-02-87612288-"
      },
      {
        "TPhoneType": "2",
        "TPhoneSign": "1",
        "TPhone": "886-02-87612288-"
      },
      {
        "TPhoneType": "4",
        "TPhoneSign": "1",
        "TPhone": "886-02-87612288-"
      },
      {
        "TPhoneType": "5",
        "TPhoneSign": "1",
        "TPhone": "886-02-87612288-"
      },
      {
        "TPhoneType": "6",
        "TPhoneSign": "1",
        "TPhone": "886-02-87612288-"
      }
    ],
    "TUpdCcTel": "N",
    "TSmsChgdate": "20230705",
    "TPostCodes": [
      {
        "TAddress": "</t>
    </r>
    <r>
      <rPr>
        <sz val="9"/>
        <color theme="1"/>
        <rFont val="微軟正黑體"/>
        <family val="2"/>
        <charset val="136"/>
      </rPr>
      <t>建國北路二段</t>
    </r>
    <r>
      <rPr>
        <sz val="9"/>
        <color theme="1"/>
        <rFont val="Calibri"/>
        <family val="2"/>
      </rPr>
      <t>9-1</t>
    </r>
    <r>
      <rPr>
        <sz val="9"/>
        <color theme="1"/>
        <rFont val="微軟正黑體"/>
        <family val="2"/>
        <charset val="136"/>
      </rPr>
      <t>號</t>
    </r>
    <r>
      <rPr>
        <sz val="9"/>
        <color theme="1"/>
        <rFont val="Calibri"/>
        <family val="2"/>
      </rPr>
      <t>",
        "TPostCode": "10400",
        "TTownCountry": "</t>
    </r>
    <r>
      <rPr>
        <sz val="9"/>
        <color theme="1"/>
        <rFont val="微軟正黑體"/>
        <family val="2"/>
        <charset val="136"/>
      </rPr>
      <t>台北市中山區</t>
    </r>
    <r>
      <rPr>
        <sz val="9"/>
        <color theme="1"/>
        <rFont val="Calibri"/>
        <family val="2"/>
      </rPr>
      <t>"
      }
    ],
    "TDegree": "7",
    "TSaleStatus7": "1",
    "TWorkingAge": "0",
    "TSaleStatus8": "1",
    "TSaleStatus5": "1",
    "TSaleStatus6": "1",
    "TCnsDlvType": "1",
    "TSaleStatus3": "9",
    "TSaleStatus4": "1",
    "TSaleStatus2": "9",
    "TOccupation": "0798",
    "TmnMaritalStatus": "4",
    "TEmails": [
      {
        "TEmailSign": "1",
        "TEmail": "BANK@SINOPAC.COM"
      }
    ]
  }
}</t>
    </r>
    <phoneticPr fontId="5" type="noConversion"/>
  </si>
  <si>
    <r>
      <t>{
  "header": {
    "transactionStatus": "Unapproved",
    "audit": {
      "T24_time": 881,
      "parse_time": 1,
      "responseParse_time": 0,
      "requestParse_time": 0,
      "versionNumber": "9"
    },
    "id": "1000472",
    "status": "success",
    "uniqueIdentifier": "IRISMB241904757149774.00"
  },
  "body": {
    "TmnOccupation": "7",
    "TSaleStatus": "0",
    "TAddr2Sign": "1",
    "TUpdCcEmail": "N",
    "TmnSms1s": [
      {
        "TSmsSign": "1",
        "TmnSms1": "886-09-11222333-"
      }
    ],
    "TmnEmployersName": "</t>
    </r>
    <r>
      <rPr>
        <sz val="9"/>
        <color theme="1"/>
        <rFont val="微軟正黑體"/>
        <family val="2"/>
        <charset val="136"/>
      </rPr>
      <t>銘原塑膠工業有限公司</t>
    </r>
    <r>
      <rPr>
        <sz val="9"/>
        <color theme="1"/>
        <rFont val="Calibri"/>
        <family val="2"/>
      </rPr>
      <t>",
    "TUpdCcMp": "N",
    "Tphones": [
      {
        "TPhoneType": "1",
        "TPhoneSign": "1",
        "TPhone": "886-02-87612211"
      },
      {
        "TPhoneType": "2",
        "TPhoneSign": "1",
        "TPhone": "886-02-87612288-"
      },
      {
        "TPhoneType": "4",
        "TPhoneSign": "1",
        "TPhone": "886-02-87612288-"
      },
      {
        "TPhoneType": "5",
        "TPhoneSign": "1",
        "TPhone": "886-02-87612288-"
      },
      {
        "TPhoneType": "6",
        "TPhoneSign": "1",
        "TPhone": "886-02-87612288-"
      }
    ],
    "TUpdCcTel": "N",
    "TSmsChgdate": "20230705",
    "TPostCodes": [
      {
        "TAddress": "</t>
    </r>
    <r>
      <rPr>
        <sz val="9"/>
        <color theme="1"/>
        <rFont val="微軟正黑體"/>
        <family val="2"/>
        <charset val="136"/>
      </rPr>
      <t>建國北路二段</t>
    </r>
    <r>
      <rPr>
        <sz val="9"/>
        <color theme="1"/>
        <rFont val="Calibri"/>
        <family val="2"/>
      </rPr>
      <t>9-1</t>
    </r>
    <r>
      <rPr>
        <sz val="9"/>
        <color theme="1"/>
        <rFont val="微軟正黑體"/>
        <family val="2"/>
        <charset val="136"/>
      </rPr>
      <t>號</t>
    </r>
    <r>
      <rPr>
        <sz val="9"/>
        <color theme="1"/>
        <rFont val="Calibri"/>
        <family val="2"/>
      </rPr>
      <t>",
        "TPostCode": "10400",
        "TTownCountry": "</t>
    </r>
    <r>
      <rPr>
        <sz val="9"/>
        <color theme="1"/>
        <rFont val="微軟正黑體"/>
        <family val="2"/>
        <charset val="136"/>
      </rPr>
      <t>台北市中山區</t>
    </r>
    <r>
      <rPr>
        <sz val="9"/>
        <color theme="1"/>
        <rFont val="Calibri"/>
        <family val="2"/>
      </rPr>
      <t>"
      }
    ],
    "TDegree": "7",
    "TSaleStatus7": "1",
    "TWorkingAge": "0",
    "TSaleStatus8": "1",
    "TSaleStatus5": "1",
    "TSaleStatus6": "1",
    "TCnsDlvType": "1",
    "TSaleStatus3": "9",
    "TSaleStatus4": "1",
    "TSaleStatus2": "9",
    "TOccupation": "0798",
    "TmnMaritalStatus": "4",
    "TEmails": [
      {
        "TEmailSign": "1",
        "TEmail": "BANK@SINOPAC.COM"
      }
    ]
  }
}</t>
    </r>
    <phoneticPr fontId="5" type="noConversion"/>
  </si>
  <si>
    <r>
      <t>INPUT
(</t>
    </r>
    <r>
      <rPr>
        <sz val="9"/>
        <color theme="1"/>
        <rFont val="細明體"/>
        <family val="2"/>
        <charset val="136"/>
      </rPr>
      <t>同一筆未授權錯誤訊息</t>
    </r>
    <r>
      <rPr>
        <sz val="9"/>
        <color theme="1"/>
        <rFont val="Calibri"/>
        <family val="2"/>
      </rPr>
      <t>)</t>
    </r>
    <phoneticPr fontId="5" type="noConversion"/>
  </si>
  <si>
    <r>
      <t>{
  "header": {
    "audit": {
      "T24_time": 356,
      "requestParse_time": 16
    },
    "id": "113035",
    "status": "failed"
  },
  "error": {
    "type": "BUSINESS",
    "errorDetails": [
      {
        "code": "TGVCP-002",
        "message": "E04406EB-</t>
    </r>
    <r>
      <rPr>
        <sz val="9"/>
        <color theme="1"/>
        <rFont val="微軟正黑體"/>
        <family val="2"/>
        <charset val="136"/>
      </rPr>
      <t>未授權資料存在，資料不能更新</t>
    </r>
    <r>
      <rPr>
        <sz val="9"/>
        <color theme="1"/>
        <rFont val="Calibri"/>
        <family val="2"/>
      </rPr>
      <t>"
      }
    ]
  }
}</t>
    </r>
    <phoneticPr fontId="5" type="noConversion"/>
  </si>
  <si>
    <r>
      <t>{
  "header": {
    "transactionStatus": "Live",
    "audit": {
      "T24_time": 425,
      "parse_time": 1,
      "responseParse_time": 0,
      "requestParse_time": 0,
      "versionNumber": "5"
    },
    "id": "12347",
    "status": "success",
    "uniqueIdentifier": "IRISMB241909099349844.00"
  },
  "body": {
    "TSaleStatus": "7",
    "TAddr2Sign": "1",
    "TmnSms1s": [
      {
        "TSmsSign": "1",
        "TmnSms1": "886-09-11222333"
      }
    ],
    "Tphones": [
      {
        "TPhoneType": "1",
        "TPhoneSign": "1",
        "TPhone": "886-02-87612211"
      },
      {
        "TPhoneType": "2",
        "TPhoneSign": "1",
        "TPhone": "886-02-87612288"
      },
      {
        "TPhoneType": "5",
        "TPhoneSign": "1",
        "TPhone": "886-02-87612288"
      }
    ],
    "TPostCodes": [
      {
        "TAddress": "</t>
    </r>
    <r>
      <rPr>
        <sz val="9"/>
        <color theme="1"/>
        <rFont val="微軟正黑體"/>
        <family val="2"/>
        <charset val="136"/>
      </rPr>
      <t>建國北路二段</t>
    </r>
    <r>
      <rPr>
        <sz val="9"/>
        <color theme="1"/>
        <rFont val="Calibri"/>
        <family val="2"/>
      </rPr>
      <t>9-1</t>
    </r>
    <r>
      <rPr>
        <sz val="9"/>
        <color theme="1"/>
        <rFont val="微軟正黑體"/>
        <family val="2"/>
        <charset val="136"/>
      </rPr>
      <t>號</t>
    </r>
    <r>
      <rPr>
        <sz val="9"/>
        <color theme="1"/>
        <rFont val="Calibri"/>
        <family val="2"/>
      </rPr>
      <t>",
        "TPostCode": "10400",
        "TTownCountry": "</t>
    </r>
    <r>
      <rPr>
        <sz val="9"/>
        <color theme="1"/>
        <rFont val="微軟正黑體"/>
        <family val="2"/>
        <charset val="136"/>
      </rPr>
      <t>台北市中山區</t>
    </r>
    <r>
      <rPr>
        <sz val="9"/>
        <color theme="1"/>
        <rFont val="Calibri"/>
        <family val="2"/>
      </rPr>
      <t>"
      }
    ],
    "TDegree": "7",
    "TSaleStatus7": "9",
    "TWorkingAge": "0",
    "TSaleStatus5": "9",
    "TSaleStatus6": "9",
    "TCnsDlvType": "0",
    "TSaleStatus3": "9",
    "TSaleStatus4": "9",
    "TSaleStatus2": "9",
    "TEmails": [
      {
        "TEmailSign": "1"
      }
    ],
    "TmnJobTitle": "1"
  }
}</t>
    </r>
    <phoneticPr fontId="5" type="noConversion"/>
  </si>
  <si>
    <r>
      <t>{
  "header": {
    "transactionStatus": "Live",
    "audit": {
      "T24_time": 182,
      "parse_time": 1,
      "responseParse_time": 0,
      "requestParse_time": 0,
      "versionNumber": "14"
    },
    "id": "113035",
    "status": "success",
    "uniqueIdentifier": "IRISMB241904757149906.00"
  },
  "body": {
    "TSaleStatus": "1",
    "TAddr2Sign": "1",
    "TUpdCcEmail": "N",
    "TmnSms1s": [
      {
        "TSmsSign": "1"
      }
    ],
    "TUpdCcMp": "N",
    "Tphones": [
      {
        "TPhoneType": "1",
        "TPhoneSign": "1",
        "TPhone": "886-02-87612211"
      },
      {
        "TPhoneType": "2",
        "TPhoneSign": "1",
        "TPhone": "886-02-87612288"
      },
      {
        "TPhoneType": "4",
        "TPhoneSign": "1",
        "TPhone": "886-02-87612288"
      }
    ],
    "TUpdCcTel": "N",
    "TPostCodes": [
      {
        "TAddress": "</t>
    </r>
    <r>
      <rPr>
        <sz val="9"/>
        <color theme="1"/>
        <rFont val="微軟正黑體"/>
        <family val="2"/>
        <charset val="136"/>
      </rPr>
      <t>建國北路二段</t>
    </r>
    <r>
      <rPr>
        <sz val="9"/>
        <color theme="1"/>
        <rFont val="Calibri"/>
        <family val="2"/>
      </rPr>
      <t>9-1</t>
    </r>
    <r>
      <rPr>
        <sz val="9"/>
        <color theme="1"/>
        <rFont val="微軟正黑體"/>
        <family val="2"/>
        <charset val="136"/>
      </rPr>
      <t>號</t>
    </r>
    <r>
      <rPr>
        <sz val="9"/>
        <color theme="1"/>
        <rFont val="Calibri"/>
        <family val="2"/>
      </rPr>
      <t>",
        "TPostCode": "10400",
        "TTownCountry": "</t>
    </r>
    <r>
      <rPr>
        <sz val="9"/>
        <color theme="1"/>
        <rFont val="微軟正黑體"/>
        <family val="2"/>
        <charset val="136"/>
      </rPr>
      <t>台北市中山區</t>
    </r>
    <r>
      <rPr>
        <sz val="9"/>
        <color theme="1"/>
        <rFont val="Calibri"/>
        <family val="2"/>
      </rPr>
      <t>"
      }
    ],
    "TDegree": "7",
    "TSaleStatus7": "9",
    "TWorkingAge": "0",
    "TSaleStatus5": "1",
    "TSaleStatus6": "9",
    "TCnsDlvType": "2",
    "TSaleStatus3": "1",
    "TSaleStatus4": "1",
    "TSaleStatus2": "1",
    "TEmails": [
      {
        "TEmailSign": "1",
        "TEmail": "BANK@SINOPAC.COM"
      }
    ],
    "TmnJobTitle": "1"
  }
}</t>
    </r>
    <phoneticPr fontId="5" type="noConversion"/>
  </si>
  <si>
    <r>
      <t>AUTH
(</t>
    </r>
    <r>
      <rPr>
        <sz val="9"/>
        <color theme="1"/>
        <rFont val="細明體"/>
        <family val="2"/>
        <charset val="136"/>
      </rPr>
      <t>同一筆資料已授權後的錯誤訊息</t>
    </r>
    <r>
      <rPr>
        <sz val="9"/>
        <color theme="1"/>
        <rFont val="Calibri"/>
        <family val="2"/>
      </rPr>
      <t>)</t>
    </r>
    <phoneticPr fontId="5" type="noConversion"/>
  </si>
  <si>
    <r>
      <t>{
  "header": {
    "audit": {
      "T24_time": 179,
      "requestParse_time": 16
    },
    "id": "113035",
    "status": "failed"
  },
  "error": {
    "type": "BUSINESS",
    "errorDetails": [
      {
        "code": "TGVCP-002",
        "message": "E05134EB-</t>
    </r>
    <r>
      <rPr>
        <sz val="9"/>
        <color theme="1"/>
        <rFont val="微軟正黑體"/>
        <family val="2"/>
        <charset val="136"/>
      </rPr>
      <t>缺少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微軟正黑體"/>
        <family val="2"/>
        <charset val="136"/>
      </rPr>
      <t>未授權資料</t>
    </r>
    <r>
      <rPr>
        <sz val="9"/>
        <color theme="1"/>
        <rFont val="Calibri"/>
        <family val="2"/>
      </rPr>
      <t>"
      }
    ]
  }
}</t>
    </r>
    <phoneticPr fontId="5" type="noConversion"/>
  </si>
  <si>
    <t>PUT</t>
    <phoneticPr fontId="5" type="noConversion"/>
  </si>
  <si>
    <t>EMPLOYERS.NAME</t>
  </si>
  <si>
    <t>T.OCCUPATION</t>
  </si>
  <si>
    <t>T.SALE.STATUS8</t>
  </si>
  <si>
    <t>TmnMaritalStatus</t>
  </si>
  <si>
    <t>TmnOccupation</t>
  </si>
  <si>
    <t>TmnJobTitle</t>
  </si>
  <si>
    <t>TmnEmployersName</t>
  </si>
  <si>
    <t>TOccupation</t>
  </si>
  <si>
    <t>TWorkingAge</t>
  </si>
  <si>
    <t>TSaleStatus8</t>
  </si>
  <si>
    <t>TSmsChgdate</t>
  </si>
  <si>
    <t>MARITAL.STATUS</t>
    <phoneticPr fontId="5" type="noConversion"/>
  </si>
  <si>
    <t>婚姻記號</t>
    <phoneticPr fontId="5" type="noConversion"/>
  </si>
  <si>
    <t>OCCUPATION</t>
    <phoneticPr fontId="5" type="noConversion"/>
  </si>
  <si>
    <t>職業</t>
    <phoneticPr fontId="5" type="noConversion"/>
  </si>
  <si>
    <t>JOB.TITLE</t>
    <phoneticPr fontId="5" type="noConversion"/>
  </si>
  <si>
    <t>職稱</t>
    <phoneticPr fontId="5" type="noConversion"/>
  </si>
  <si>
    <t>服務機構</t>
    <phoneticPr fontId="5" type="noConversion"/>
  </si>
  <si>
    <t>子職業</t>
    <phoneticPr fontId="5" type="noConversion"/>
  </si>
  <si>
    <t>T.WORKING.AGE</t>
    <phoneticPr fontId="5" type="noConversion"/>
  </si>
  <si>
    <t>服務年資</t>
    <phoneticPr fontId="5" type="noConversion"/>
  </si>
  <si>
    <t>T.SMS.CHGDATE</t>
    <phoneticPr fontId="5" type="noConversion"/>
  </si>
  <si>
    <t>簡訊行動電話異動日期</t>
    <phoneticPr fontId="5" type="noConversion"/>
  </si>
  <si>
    <t>0.未婚 
1.已婚無子女
2.離婚/同居 
3.已婚有子女
4.其他</t>
    <phoneticPr fontId="5" type="noConversion"/>
  </si>
  <si>
    <t>職稱</t>
    <phoneticPr fontId="26" type="noConversion"/>
  </si>
  <si>
    <t>1.無</t>
  </si>
  <si>
    <t>2.作業員</t>
  </si>
  <si>
    <t>3.約聘人員</t>
  </si>
  <si>
    <t>4.醫護人員</t>
  </si>
  <si>
    <t>5.一般職員</t>
  </si>
  <si>
    <t>6.老師</t>
  </si>
  <si>
    <t>7.中階主管（副科／科長級以上）</t>
  </si>
  <si>
    <t>8.高階主管（協理級以上）</t>
  </si>
  <si>
    <t>9.醫師／會計師／律師</t>
    <phoneticPr fontId="26" type="noConversion"/>
  </si>
  <si>
    <t>10.董監事／股東</t>
  </si>
  <si>
    <t>11負責人</t>
  </si>
  <si>
    <t>12.其他</t>
  </si>
  <si>
    <t>13.會計師</t>
  </si>
  <si>
    <t>14.律師</t>
  </si>
  <si>
    <t>15.醫師</t>
  </si>
  <si>
    <t>16.地政士</t>
    <phoneticPr fontId="26" type="noConversion"/>
  </si>
  <si>
    <t>17.記帳士</t>
    <phoneticPr fontId="26" type="noConversion"/>
  </si>
  <si>
    <t>18.報稅代理人</t>
    <phoneticPr fontId="26" type="noConversion"/>
  </si>
  <si>
    <t>子職業</t>
    <phoneticPr fontId="26" type="noConversion"/>
  </si>
  <si>
    <t>0701:化工化學</t>
    <phoneticPr fontId="26" type="noConversion"/>
  </si>
  <si>
    <t>0702:船舶</t>
    <phoneticPr fontId="26" type="noConversion"/>
  </si>
  <si>
    <t>0703:浮動設施</t>
    <phoneticPr fontId="26" type="noConversion"/>
  </si>
  <si>
    <t>0704:貴金屬</t>
    <phoneticPr fontId="26" type="noConversion"/>
  </si>
  <si>
    <t>0705:鍋爐</t>
    <phoneticPr fontId="26" type="noConversion"/>
  </si>
  <si>
    <t>0706:金屬貯槽</t>
    <phoneticPr fontId="26" type="noConversion"/>
  </si>
  <si>
    <t>0707:壓力容器</t>
    <phoneticPr fontId="26" type="noConversion"/>
  </si>
  <si>
    <t>0708:肉品</t>
    <phoneticPr fontId="26" type="noConversion"/>
  </si>
  <si>
    <t>0709:水產</t>
    <phoneticPr fontId="26" type="noConversion"/>
  </si>
  <si>
    <t>0710:蔬果</t>
    <phoneticPr fontId="26" type="noConversion"/>
  </si>
  <si>
    <t>0711:紡織</t>
    <phoneticPr fontId="26" type="noConversion"/>
  </si>
  <si>
    <t>0798:尚未分類(不顯示)</t>
    <phoneticPr fontId="26" type="noConversion"/>
  </si>
  <si>
    <t>0799:其他</t>
    <phoneticPr fontId="26" type="noConversion"/>
  </si>
  <si>
    <t>1601:農林漁業</t>
    <phoneticPr fontId="26" type="noConversion"/>
  </si>
  <si>
    <t>1602:牧業</t>
    <phoneticPr fontId="26" type="noConversion"/>
  </si>
  <si>
    <t>1698:尚未分類(不顯示)</t>
    <phoneticPr fontId="26" type="noConversion"/>
  </si>
  <si>
    <t>1699:其他</t>
    <phoneticPr fontId="26" type="noConversion"/>
  </si>
  <si>
    <t>1801:石油及天然氣礦業</t>
    <phoneticPr fontId="26" type="noConversion"/>
  </si>
  <si>
    <t>1802:水電業</t>
    <phoneticPr fontId="26" type="noConversion"/>
  </si>
  <si>
    <t>1898:尚未分類(不顯示)</t>
    <phoneticPr fontId="26" type="noConversion"/>
  </si>
  <si>
    <t>1899:其他</t>
    <phoneticPr fontId="26" type="noConversion"/>
  </si>
  <si>
    <t>1901:中古商品</t>
    <phoneticPr fontId="26" type="noConversion"/>
  </si>
  <si>
    <t>1902:菸酒</t>
    <phoneticPr fontId="26" type="noConversion"/>
  </si>
  <si>
    <t>1903:回收物料</t>
    <phoneticPr fontId="26" type="noConversion"/>
  </si>
  <si>
    <t>1998:尚未分類(不顯示)</t>
    <phoneticPr fontId="26" type="noConversion"/>
  </si>
  <si>
    <t>1999:其他</t>
    <phoneticPr fontId="26" type="noConversion"/>
  </si>
  <si>
    <t>2101:水運</t>
    <phoneticPr fontId="26" type="noConversion"/>
  </si>
  <si>
    <t>2102:倉儲</t>
    <phoneticPr fontId="26" type="noConversion"/>
  </si>
  <si>
    <t>2198:尚未分類(不顯示)</t>
    <phoneticPr fontId="26" type="noConversion"/>
  </si>
  <si>
    <t>2199:其他</t>
    <phoneticPr fontId="26" type="noConversion"/>
  </si>
  <si>
    <t>2201:不動產經紀商</t>
    <phoneticPr fontId="26" type="noConversion"/>
  </si>
  <si>
    <t>2298:尚未分類(不顯示)</t>
    <phoneticPr fontId="26" type="noConversion"/>
  </si>
  <si>
    <t>2299:其他</t>
    <phoneticPr fontId="26" type="noConversion"/>
  </si>
  <si>
    <t>3601:居住型護理照顧</t>
    <phoneticPr fontId="26" type="noConversion"/>
  </si>
  <si>
    <t>3602:醫護人員</t>
    <phoneticPr fontId="26" type="noConversion"/>
  </si>
  <si>
    <t>3603:生技</t>
    <phoneticPr fontId="26" type="noConversion"/>
  </si>
  <si>
    <t>3699:其他</t>
    <phoneticPr fontId="26" type="noConversion"/>
  </si>
  <si>
    <t>詳職稱&amp;子職業下拉選項</t>
  </si>
  <si>
    <t>詳職稱&amp;子職業下拉選項</t>
    <phoneticPr fontId="5" type="noConversion"/>
  </si>
  <si>
    <t>Marital Status</t>
    <phoneticPr fontId="5" type="noConversion"/>
  </si>
  <si>
    <t>Occupation</t>
    <phoneticPr fontId="5" type="noConversion"/>
  </si>
  <si>
    <t>Job Title</t>
    <phoneticPr fontId="5" type="noConversion"/>
  </si>
  <si>
    <t>Employers Name</t>
    <phoneticPr fontId="5" type="noConversion"/>
  </si>
  <si>
    <t>Sub Occupation</t>
    <phoneticPr fontId="5" type="noConversion"/>
  </si>
  <si>
    <t>Working AGE</t>
    <phoneticPr fontId="5" type="noConversion"/>
  </si>
  <si>
    <t>SMS Chgdate</t>
    <phoneticPr fontId="5" type="noConversion"/>
  </si>
  <si>
    <t>洪政賢</t>
    <phoneticPr fontId="5" type="noConversion"/>
  </si>
  <si>
    <t>TBrSeqno</t>
  </si>
  <si>
    <t>V</t>
    <phoneticPr fontId="5" type="noConversion"/>
  </si>
  <si>
    <t>前端交易序號</t>
    <phoneticPr fontId="5" type="noConversion"/>
  </si>
  <si>
    <t>Branch Txn no.</t>
    <phoneticPr fontId="5" type="noConversion"/>
  </si>
  <si>
    <t>TI.CHNN.CODE</t>
    <phoneticPr fontId="5" type="noConversion"/>
  </si>
  <si>
    <t>TiChnnCode</t>
  </si>
  <si>
    <t>通路別</t>
    <phoneticPr fontId="5" type="noConversion"/>
  </si>
  <si>
    <t>Channel code</t>
    <phoneticPr fontId="5" type="noConversion"/>
  </si>
  <si>
    <t>TI.CHNN.CODE.S</t>
    <phoneticPr fontId="5" type="noConversion"/>
  </si>
  <si>
    <t>TiChnnCodeSrc</t>
  </si>
  <si>
    <t>前端渠道</t>
    <phoneticPr fontId="5" type="noConversion"/>
  </si>
  <si>
    <t>The way to send in a transaction</t>
    <phoneticPr fontId="5" type="noConversion"/>
  </si>
  <si>
    <t>T.TXN.CODE</t>
    <phoneticPr fontId="5" type="noConversion"/>
  </si>
  <si>
    <t>TTxnCode</t>
    <phoneticPr fontId="5" type="noConversion"/>
  </si>
  <si>
    <t>固定放G5003</t>
    <phoneticPr fontId="5" type="noConversion"/>
  </si>
  <si>
    <t>交易代號</t>
    <phoneticPr fontId="5" type="noConversion"/>
  </si>
  <si>
    <t>TXN CODE</t>
    <phoneticPr fontId="5" type="noConversion"/>
  </si>
  <si>
    <t>T.INP.BR</t>
    <phoneticPr fontId="5" type="noConversion"/>
  </si>
  <si>
    <t>TInpBr</t>
    <phoneticPr fontId="5" type="noConversion"/>
  </si>
  <si>
    <t>固定放TW8070769</t>
    <phoneticPr fontId="5" type="noConversion"/>
  </si>
  <si>
    <t>輸入行</t>
    <phoneticPr fontId="5" type="noConversion"/>
  </si>
  <si>
    <t>INP BR</t>
    <phoneticPr fontId="5" type="noConversion"/>
  </si>
  <si>
    <t>T.EMAIL.VER.FG</t>
    <phoneticPr fontId="5" type="noConversion"/>
  </si>
  <si>
    <t>TEmailVerFg</t>
    <phoneticPr fontId="5" type="noConversion"/>
  </si>
  <si>
    <t>固定放2</t>
    <phoneticPr fontId="5" type="noConversion"/>
  </si>
  <si>
    <t>EMAIL驗證記號</t>
    <phoneticPr fontId="5" type="noConversion"/>
  </si>
  <si>
    <t>EMAIL VERFG</t>
    <phoneticPr fontId="5" type="noConversion"/>
  </si>
  <si>
    <t>T.EMAIL.VER.DAY</t>
    <phoneticPr fontId="5" type="noConversion"/>
  </si>
  <si>
    <t>TEmailVerDay</t>
    <phoneticPr fontId="5" type="noConversion"/>
  </si>
  <si>
    <t>當天日期</t>
    <phoneticPr fontId="5" type="noConversion"/>
  </si>
  <si>
    <t>驗證異動日期</t>
    <phoneticPr fontId="5" type="noConversion"/>
  </si>
  <si>
    <t>EMAIL VERDAY</t>
    <phoneticPr fontId="5" type="noConversion"/>
  </si>
  <si>
    <t>XX.</t>
    <phoneticPr fontId="5" type="noConversion"/>
  </si>
  <si>
    <t>Add column 35-41</t>
    <phoneticPr fontId="5" type="noConversion"/>
  </si>
  <si>
    <t>張少萍</t>
    <phoneticPr fontId="5" type="noConversion"/>
  </si>
  <si>
    <t>2.0</t>
    <phoneticPr fontId="5" type="noConversion"/>
  </si>
  <si>
    <t>TEmailVerFgs</t>
    <phoneticPr fontId="5" type="noConversion"/>
  </si>
  <si>
    <t>TEmailVerDays</t>
    <phoneticPr fontId="5" type="noConversion"/>
  </si>
  <si>
    <t>T.BR.SEQNO</t>
    <phoneticPr fontId="5" type="noConversion"/>
  </si>
  <si>
    <t>54L</t>
  </si>
  <si>
    <t>V</t>
  </si>
  <si>
    <t>T24 VERSION</t>
    <phoneticPr fontId="5" type="noConversion"/>
  </si>
  <si>
    <t>Version Name</t>
    <phoneticPr fontId="5" type="noConversion"/>
  </si>
  <si>
    <t>Add column 42</t>
    <phoneticPr fontId="5" type="noConversion"/>
  </si>
  <si>
    <t>陳毅帆</t>
    <phoneticPr fontId="5" type="noConversion"/>
  </si>
  <si>
    <t>3.0</t>
    <phoneticPr fontId="5" type="noConversion"/>
  </si>
  <si>
    <t>T.VERSION.NAME</t>
    <phoneticPr fontId="5" type="noConversion"/>
  </si>
  <si>
    <t>TVersionName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</si>
</sst>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sz val="10"/>
      <color theme="1"/>
      <name val="Calibri"/>
      <family val="2"/>
    </font>
    <font>
      <sz val="11"/>
      <name val="微軟正黑體"/>
      <family val="2"/>
      <charset val="136"/>
    </font>
    <font>
      <sz val="11"/>
      <color rgb="FF4D5156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1"/>
      <color rgb="FFC00000"/>
      <name val="微軟正黑體"/>
      <family val="2"/>
      <charset val="136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細明體"/>
      <family val="2"/>
      <charset val="136"/>
    </font>
    <font>
      <sz val="9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trike/>
      <sz val="11"/>
      <name val="微軟正黑體"/>
      <family val="2"/>
      <charset val="136"/>
    </font>
    <font>
      <sz val="10"/>
      <color rgb="FF0000D4"/>
      <name val="細明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10" fillId="0" borderId="0"/>
    <xf numFmtId="0" fontId="12" fillId="0" borderId="0" applyNumberFormat="0" applyFill="0" applyBorder="0" applyAlignment="0" applyProtection="0"/>
    <xf numFmtId="0" fontId="2" fillId="0" borderId="0">
      <alignment vertical="center"/>
    </xf>
    <xf numFmtId="0" fontId="12" fillId="0" borderId="0" applyNumberFormat="0" applyFill="0" applyBorder="0" applyAlignment="0" applyProtection="0"/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</cellStyleXfs>
  <cellXfs count="66">
    <xf numFmtId="0" fontId="0" fillId="0" borderId="0" xfId="0"/>
    <xf numFmtId="0" fontId="6" fillId="3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4" fontId="7" fillId="0" borderId="5" xfId="0" quotePrefix="1" applyNumberFormat="1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9" fillId="0" borderId="5" xfId="0" quotePrefix="1" applyFont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0" fontId="11" fillId="0" borderId="6" xfId="0" applyFont="1" applyBorder="1" applyAlignment="1">
      <alignment vertical="top"/>
    </xf>
    <xf numFmtId="0" fontId="11" fillId="0" borderId="6" xfId="0" applyFont="1" applyBorder="1" applyAlignment="1">
      <alignment vertical="top" wrapText="1"/>
    </xf>
    <xf numFmtId="0" fontId="12" fillId="0" borderId="0" xfId="3"/>
    <xf numFmtId="0" fontId="16" fillId="0" borderId="6" xfId="0" applyFont="1" applyBorder="1" applyAlignment="1">
      <alignment vertical="top"/>
    </xf>
    <xf numFmtId="0" fontId="14" fillId="0" borderId="0" xfId="6" applyFont="1" applyAlignment="1">
      <alignment horizontal="left" vertical="top"/>
    </xf>
    <xf numFmtId="0" fontId="15" fillId="4" borderId="6" xfId="6" applyFont="1" applyFill="1" applyBorder="1" applyAlignment="1">
      <alignment horizontal="left" vertical="top"/>
    </xf>
    <xf numFmtId="0" fontId="15" fillId="4" borderId="6" xfId="6" applyFont="1" applyFill="1" applyBorder="1" applyAlignment="1">
      <alignment horizontal="left"/>
    </xf>
    <xf numFmtId="0" fontId="17" fillId="4" borderId="6" xfId="6" applyFont="1" applyFill="1" applyBorder="1" applyAlignment="1">
      <alignment horizontal="left"/>
    </xf>
    <xf numFmtId="0" fontId="14" fillId="0" borderId="0" xfId="0" applyFont="1"/>
    <xf numFmtId="0" fontId="15" fillId="4" borderId="6" xfId="1" applyFont="1" applyFill="1" applyBorder="1" applyAlignment="1">
      <alignment horizontal="left" vertical="center" wrapText="1"/>
    </xf>
    <xf numFmtId="0" fontId="14" fillId="0" borderId="6" xfId="6" applyFont="1" applyBorder="1" applyAlignment="1">
      <alignment horizontal="left"/>
    </xf>
    <xf numFmtId="0" fontId="14" fillId="0" borderId="6" xfId="6" applyFont="1" applyBorder="1" applyAlignment="1" applyProtection="1">
      <alignment horizontal="left" wrapText="1"/>
      <protection locked="0"/>
    </xf>
    <xf numFmtId="0" fontId="14" fillId="0" borderId="0" xfId="0" applyFont="1" applyAlignment="1">
      <alignment wrapText="1"/>
    </xf>
    <xf numFmtId="0" fontId="14" fillId="0" borderId="6" xfId="6" applyFont="1" applyBorder="1" applyAlignment="1">
      <alignment horizontal="left" wrapText="1"/>
    </xf>
    <xf numFmtId="0" fontId="14" fillId="0" borderId="0" xfId="0" applyFont="1" applyAlignment="1">
      <alignment vertical="center"/>
    </xf>
    <xf numFmtId="0" fontId="14" fillId="6" borderId="0" xfId="0" applyFont="1" applyFill="1" applyAlignment="1">
      <alignment vertical="center"/>
    </xf>
    <xf numFmtId="0" fontId="18" fillId="0" borderId="0" xfId="0" applyFont="1"/>
    <xf numFmtId="0" fontId="17" fillId="0" borderId="0" xfId="0" applyFont="1" applyAlignment="1">
      <alignment vertical="center"/>
    </xf>
    <xf numFmtId="0" fontId="19" fillId="0" borderId="0" xfId="0" applyFont="1"/>
    <xf numFmtId="0" fontId="14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14" fillId="0" borderId="0" xfId="6" applyFont="1" applyAlignment="1">
      <alignment horizontal="left" vertical="center"/>
    </xf>
    <xf numFmtId="0" fontId="20" fillId="0" borderId="0" xfId="0" applyFont="1" applyAlignment="1">
      <alignment vertical="center"/>
    </xf>
    <xf numFmtId="0" fontId="21" fillId="5" borderId="6" xfId="0" applyFont="1" applyFill="1" applyBorder="1" applyAlignment="1">
      <alignment horizontal="center"/>
    </xf>
    <xf numFmtId="0" fontId="22" fillId="0" borderId="6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17" fillId="0" borderId="0" xfId="6" applyFont="1" applyAlignment="1">
      <alignment horizontal="left" vertical="center"/>
    </xf>
    <xf numFmtId="0" fontId="17" fillId="0" borderId="0" xfId="0" applyFont="1" applyAlignment="1">
      <alignment vertical="center" wrapText="1"/>
    </xf>
    <xf numFmtId="0" fontId="17" fillId="0" borderId="0" xfId="0" applyFont="1"/>
    <xf numFmtId="0" fontId="17" fillId="0" borderId="0" xfId="9" applyFont="1">
      <alignment vertical="center"/>
    </xf>
    <xf numFmtId="0" fontId="17" fillId="0" borderId="9" xfId="9" applyFont="1" applyBorder="1">
      <alignment vertical="center"/>
    </xf>
    <xf numFmtId="0" fontId="17" fillId="0" borderId="10" xfId="9" applyFont="1" applyBorder="1">
      <alignment vertical="center"/>
    </xf>
    <xf numFmtId="0" fontId="27" fillId="0" borderId="10" xfId="9" applyFont="1" applyBorder="1">
      <alignment vertical="center"/>
    </xf>
    <xf numFmtId="0" fontId="17" fillId="0" borderId="11" xfId="9" applyFont="1" applyBorder="1">
      <alignment vertical="center"/>
    </xf>
    <xf numFmtId="0" fontId="27" fillId="0" borderId="0" xfId="9" applyFont="1">
      <alignment vertical="center"/>
    </xf>
    <xf numFmtId="0" fontId="20" fillId="7" borderId="8" xfId="9" applyFont="1" applyFill="1" applyBorder="1" applyAlignment="1">
      <alignment horizontal="center" vertical="center"/>
    </xf>
    <xf numFmtId="0" fontId="17" fillId="0" borderId="0" xfId="9" applyFont="1" applyAlignment="1">
      <alignment horizontal="center" vertical="center"/>
    </xf>
    <xf numFmtId="0" fontId="20" fillId="7" borderId="12" xfId="9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 vertical="center" wrapText="1"/>
    </xf>
    <xf numFmtId="0" fontId="20" fillId="0" borderId="0" xfId="6" applyFont="1" applyAlignment="1">
      <alignment horizontal="left" vertical="top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5" xfId="0" quotePrefix="1" applyNumberFormat="1" applyFont="1" applyBorder="1" applyAlignment="1">
      <alignment horizontal="center" vertical="center" wrapText="1"/>
    </xf>
    <xf numFmtId="0" fontId="17" fillId="0" borderId="0" xfId="6" applyFont="1" applyAlignment="1">
      <alignment horizontal="left" vertical="top"/>
    </xf>
    <xf numFmtId="0" fontId="17" fillId="0" borderId="0" xfId="0" applyFont="1" applyFill="1" applyAlignment="1">
      <alignment vertical="center"/>
    </xf>
    <xf numFmtId="0" fontId="17" fillId="0" borderId="0" xfId="0" applyFont="1" applyFill="1" applyAlignment="1">
      <alignment horizontal="right" vertical="center"/>
    </xf>
    <xf numFmtId="0" fontId="17" fillId="0" borderId="0" xfId="0" applyFont="1" applyFill="1"/>
    <xf numFmtId="0" fontId="20" fillId="0" borderId="0" xfId="0" applyFont="1" applyAlignment="1">
      <alignment horizontal="right" vertical="center"/>
    </xf>
    <xf numFmtId="0" fontId="11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10">
    <cellStyle name="Hyperlink" xfId="5" xr:uid="{00000000-0005-0000-0000-000000000000}"/>
    <cellStyle name="Normal 2" xfId="1" xr:uid="{00000000-0005-0000-0000-000001000000}"/>
    <cellStyle name="Normal 2 2" xfId="4" xr:uid="{00000000-0005-0000-0000-000002000000}"/>
    <cellStyle name="Normal 2 2 2" xfId="8" xr:uid="{0F68B48F-C778-46AE-8B7F-770705894214}"/>
    <cellStyle name="Normal 2 3" xfId="7" xr:uid="{BD78E267-C593-4764-9112-4C2D458B2EC4}"/>
    <cellStyle name="Normal 4" xfId="2" xr:uid="{00000000-0005-0000-0000-000003000000}"/>
    <cellStyle name="一般" xfId="0" builtinId="0"/>
    <cellStyle name="一般 2" xfId="6" xr:uid="{00000000-0005-0000-0000-000005000000}"/>
    <cellStyle name="一般 3" xfId="9" xr:uid="{FE3132EF-B06C-4902-8614-86636801D0E8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notesFFF692\BANK%20X%20FATCA%20Sample%20Data%20Template%2020110209%20v1.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998;&#34892;&#25991;&#20214;&#35215;&#26684;/&#20998;&#34892;&#25991;&#20214;&#35215;&#26684;/TW/G&#39006;&#35215;&#26684;/TW_BRH_G3000_&#22522;&#26412;&#36039;&#26009;&#24314;&#27284;_202104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1407\AppData\Local\Microsoft\Windows\Temporary%20Internet%20Files\Content.Outlook\LXUP9HSW\&#22296;&#38283;&#31354;&#30333;&#27284;(&#24076;&#26395;&#29256;&#2641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 Instructions"/>
      <sheetName val="1. System Information"/>
      <sheetName val="2. Client Data Fields"/>
      <sheetName val="清單"/>
    </sheetNames>
    <sheetDataSet>
      <sheetData sheetId="0"/>
      <sheetData sheetId="1">
        <row r="1">
          <cell r="D1" t="str">
            <v>Internal</v>
          </cell>
        </row>
        <row r="2">
          <cell r="D2" t="str">
            <v>External</v>
          </cell>
        </row>
        <row r="3">
          <cell r="D3" t="str">
            <v>Combination of internal and external support</v>
          </cell>
        </row>
      </sheetData>
      <sheetData sheetId="2">
        <row r="1">
          <cell r="F1" t="str">
            <v>Yes - system enforced</v>
          </cell>
          <cell r="G1" t="str">
            <v>Free form</v>
          </cell>
          <cell r="H1" t="str">
            <v>Yes</v>
          </cell>
        </row>
        <row r="2">
          <cell r="F2" t="str">
            <v>Yes - policy enforced</v>
          </cell>
          <cell r="G2" t="str">
            <v>Drop down</v>
          </cell>
          <cell r="H2" t="str">
            <v>No</v>
          </cell>
        </row>
        <row r="3">
          <cell r="F3" t="str">
            <v>No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錄"/>
      <sheetName val="修改紀錄(需求單號)"/>
      <sheetName val="交易規格說明"/>
      <sheetName val="SCR_畫面欄位格式說明"/>
      <sheetName val="下拉選項20210423"/>
      <sheetName val="基本資料輸入畫面"/>
      <sheetName val="通訊資料輸入畫面"/>
      <sheetName val="盡職調查輸入畫面"/>
      <sheetName val="其他項目輸入畫面"/>
      <sheetName val="FATCA資訊專頁輸入畫面"/>
      <sheetName val="CRS資訊專頁輸入畫面"/>
      <sheetName val="FORM_表單欄位格式說明 (Enote預覽基本資料)"/>
      <sheetName val="FORM_表單欄位格式說明(客戶基本資料表)"/>
      <sheetName val="客戶基本資料表"/>
      <sheetName val="INI檔(需求單201802220030新增)"/>
      <sheetName val="國家排除名單&amp;邏輯"/>
      <sheetName val="新版職業職稱20180529"/>
      <sheetName val="行業對象別風險等級20180525(資料ODS2)"/>
      <sheetName val="FATCA個人法人G3000檢核(201710200020)"/>
      <sheetName val="FATCA其它欄位之檢核"/>
      <sheetName val="QID邏輯"/>
      <sheetName val="個人透支額度 (2)"/>
      <sheetName val="EXCEL團開版本(需求單202009300082)"/>
      <sheetName val="G320連動G3000欄位說明"/>
      <sheetName val="TITA_CUSTOMER,TMB.FULL.OPN"/>
      <sheetName val="TOTA_CUSTOMER,TMB.FULL.OPN"/>
      <sheetName val="TITA_TMB.CUS.FOREIGN.TAX1"/>
      <sheetName val="TOTA_TMB.CUS.FOREIGN.TAX"/>
      <sheetName val="TMB.CUS.FOREIGN.TAX(主機規格)"/>
      <sheetName val="TITA_SP_getCIFData (PADDB)"/>
      <sheetName val="TOTA_SP_getCIFData (PADDB)"/>
      <sheetName val="TITA_KYCDB"/>
      <sheetName val="TOTA_KYC DB"/>
      <sheetName val="新舊對照(TMB.CUS.FOREIGN.TAX)"/>
      <sheetName val="TABLE SCHEMA"/>
      <sheetName val="EB_LOOKUP"/>
      <sheetName val="補充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領補換類別"/>
      <sheetName val="發證地點"/>
      <sheetName val="學歷"/>
      <sheetName val="職業"/>
      <sheetName val="注意事項"/>
      <sheetName val="操作流程"/>
      <sheetName val="修改(希望)"/>
      <sheetName val="修改(原版+欄位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B2" t="str">
            <v>金融業</v>
          </cell>
        </row>
        <row r="3">
          <cell r="B3" t="str">
            <v>保險業</v>
          </cell>
        </row>
        <row r="4">
          <cell r="B4" t="str">
            <v>投信／投顧／證券</v>
          </cell>
        </row>
        <row r="5">
          <cell r="B5" t="str">
            <v>資訊業</v>
          </cell>
        </row>
        <row r="6">
          <cell r="B6" t="str">
            <v>建築業</v>
          </cell>
        </row>
        <row r="7">
          <cell r="B7" t="str">
            <v>自由業</v>
          </cell>
        </row>
        <row r="8">
          <cell r="B8" t="str">
            <v>製造業</v>
          </cell>
        </row>
        <row r="9">
          <cell r="B9" t="str">
            <v>貿易買賣業</v>
          </cell>
        </row>
        <row r="10">
          <cell r="B10" t="str">
            <v>專業人士</v>
          </cell>
        </row>
        <row r="11">
          <cell r="B11" t="str">
            <v>政府機構</v>
          </cell>
        </row>
        <row r="12">
          <cell r="B12" t="str">
            <v>各級學校/學術機構</v>
          </cell>
        </row>
        <row r="13">
          <cell r="B13" t="str">
            <v>軍警機構</v>
          </cell>
        </row>
        <row r="14">
          <cell r="B14" t="str">
            <v>家管</v>
          </cell>
        </row>
        <row r="15">
          <cell r="B15" t="str">
            <v>軍官/軍人</v>
          </cell>
        </row>
        <row r="16">
          <cell r="B16" t="str">
            <v>學生</v>
          </cell>
        </row>
        <row r="17">
          <cell r="B17" t="str">
            <v>農林漁牧業</v>
          </cell>
        </row>
        <row r="18">
          <cell r="B18" t="str">
            <v>礦石及土石採取業</v>
          </cell>
        </row>
        <row r="19">
          <cell r="B19" t="str">
            <v>水電燃氣業</v>
          </cell>
        </row>
        <row r="20">
          <cell r="B20" t="str">
            <v>批發及零售業</v>
          </cell>
        </row>
        <row r="21">
          <cell r="B21" t="str">
            <v>住宿及餐飲業</v>
          </cell>
        </row>
        <row r="22">
          <cell r="B22" t="str">
            <v>運輸或倉儲及通訊業</v>
          </cell>
        </row>
        <row r="23">
          <cell r="B23" t="str">
            <v>不動產及租賃業</v>
          </cell>
        </row>
        <row r="24">
          <cell r="B24" t="str">
            <v>技術服務業</v>
          </cell>
        </row>
        <row r="25">
          <cell r="B25" t="str">
            <v>賭博/夜總會相關行業</v>
          </cell>
        </row>
        <row r="26">
          <cell r="B26" t="str">
            <v>藝品或寶石交易</v>
          </cell>
        </row>
        <row r="27">
          <cell r="B27" t="str">
            <v>無業</v>
          </cell>
        </row>
        <row r="28">
          <cell r="B28" t="str">
            <v>政治人物</v>
          </cell>
        </row>
        <row r="29">
          <cell r="B29" t="str">
            <v>演藝人員</v>
          </cell>
        </row>
        <row r="30">
          <cell r="B30" t="str">
            <v>典當業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workbookViewId="0">
      <selection activeCell="A7" sqref="A7"/>
    </sheetView>
  </sheetViews>
  <sheetFormatPr defaultRowHeight="15.7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>
      <c r="A1" s="61" t="s">
        <v>0</v>
      </c>
      <c r="B1" s="62"/>
      <c r="C1" s="62"/>
      <c r="D1" s="62"/>
      <c r="E1" s="62"/>
    </row>
    <row r="2" spans="1:5" ht="16.5" thickBot="1">
      <c r="A2" s="63" t="s">
        <v>1</v>
      </c>
      <c r="B2" s="64"/>
      <c r="C2" s="64"/>
      <c r="D2" s="64"/>
      <c r="E2" s="65"/>
    </row>
    <row r="3" spans="1:5" ht="16.5" thickBo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6.5" thickBot="1">
      <c r="A4" s="2" t="s">
        <v>7</v>
      </c>
      <c r="B4" s="4"/>
      <c r="C4" s="6" t="s">
        <v>8</v>
      </c>
      <c r="D4" s="52" t="s">
        <v>294</v>
      </c>
      <c r="E4" s="3" t="s">
        <v>9</v>
      </c>
    </row>
    <row r="5" spans="1:5" ht="16.5" thickBot="1">
      <c r="A5" s="54" t="s">
        <v>330</v>
      </c>
      <c r="B5" s="55">
        <v>20241016</v>
      </c>
      <c r="C5" s="6" t="s">
        <v>328</v>
      </c>
      <c r="D5" s="52" t="s">
        <v>329</v>
      </c>
      <c r="E5" s="3"/>
    </row>
    <row r="6" spans="1:5" ht="16.5" thickBot="1">
      <c r="A6" s="54" t="s">
        <v>340</v>
      </c>
      <c r="B6" s="4">
        <v>45748</v>
      </c>
      <c r="C6" s="6" t="s">
        <v>338</v>
      </c>
      <c r="D6" s="52" t="s">
        <v>339</v>
      </c>
      <c r="E6" s="3"/>
    </row>
    <row r="7" spans="1:5" ht="16.5" thickBot="1">
      <c r="A7" s="3"/>
      <c r="B7" s="5"/>
      <c r="C7" s="7"/>
      <c r="D7" s="3"/>
      <c r="E7" s="3"/>
    </row>
    <row r="8" spans="1:5" ht="16.5" thickBot="1">
      <c r="A8" s="3"/>
      <c r="B8" s="5"/>
      <c r="C8" s="7"/>
      <c r="D8" s="3"/>
      <c r="E8" s="3"/>
    </row>
    <row r="9" spans="1:5" ht="16.5" thickBot="1">
      <c r="A9" s="3"/>
      <c r="B9" s="5"/>
      <c r="C9" s="7"/>
      <c r="D9" s="3"/>
      <c r="E9" s="3"/>
    </row>
    <row r="10" spans="1:5" ht="16.5" thickBot="1">
      <c r="A10" s="3"/>
      <c r="B10" s="5"/>
      <c r="C10" s="7"/>
      <c r="D10" s="3"/>
      <c r="E10" s="3"/>
    </row>
    <row r="11" spans="1:5" ht="16.5" thickBot="1">
      <c r="A11" s="3"/>
      <c r="B11" s="5"/>
      <c r="C11" s="7"/>
      <c r="D11" s="3"/>
      <c r="E11" s="3"/>
    </row>
    <row r="12" spans="1:5" ht="16.5" thickBot="1">
      <c r="A12" s="3"/>
      <c r="B12" s="5"/>
      <c r="C12" s="7"/>
      <c r="D12" s="3"/>
      <c r="E12" s="3"/>
    </row>
    <row r="13" spans="1:5" ht="16.5" thickBot="1">
      <c r="A13" s="3"/>
      <c r="B13" s="5"/>
      <c r="C13" s="7"/>
      <c r="D13" s="3"/>
      <c r="E13" s="3"/>
    </row>
    <row r="14" spans="1:5" ht="16.5" thickBot="1">
      <c r="A14" s="3"/>
      <c r="B14" s="5"/>
      <c r="C14" s="7"/>
      <c r="D14" s="3"/>
      <c r="E14" s="3"/>
    </row>
    <row r="15" spans="1:5" ht="16.5" thickBot="1">
      <c r="A15" s="3"/>
      <c r="B15" s="5"/>
      <c r="C15" s="7"/>
      <c r="D15" s="3"/>
      <c r="E15" s="3"/>
    </row>
    <row r="16" spans="1:5" ht="16.5" thickBot="1">
      <c r="A16" s="3"/>
      <c r="B16" s="5"/>
      <c r="C16" s="8"/>
      <c r="D16" s="3"/>
      <c r="E16" s="3"/>
    </row>
    <row r="17" spans="1:5" ht="16.5" thickBot="1">
      <c r="A17" s="9"/>
      <c r="B17" s="5"/>
      <c r="C17" s="7"/>
      <c r="D17" s="3"/>
      <c r="E17" s="3"/>
    </row>
    <row r="18" spans="1:5" ht="16.5" thickBot="1">
      <c r="A18" s="3"/>
      <c r="B18" s="5"/>
      <c r="C18" s="7"/>
      <c r="D18" s="3"/>
      <c r="E18" s="3"/>
    </row>
    <row r="19" spans="1:5" ht="16.5" thickBot="1">
      <c r="A19" s="3"/>
      <c r="B19" s="5"/>
      <c r="C19" s="7"/>
      <c r="D19" s="3"/>
      <c r="E19" s="3"/>
    </row>
    <row r="20" spans="1:5" ht="16.5" thickBot="1">
      <c r="A20" s="3"/>
      <c r="B20" s="5"/>
      <c r="C20" s="7"/>
      <c r="D20" s="3"/>
      <c r="E20" s="3"/>
    </row>
    <row r="21" spans="1:5" ht="16.5" thickBot="1">
      <c r="A21" s="3"/>
      <c r="B21" s="5"/>
      <c r="C21" s="7"/>
      <c r="D21" s="3"/>
      <c r="E21" s="3"/>
    </row>
    <row r="22" spans="1:5" ht="16.5" thickBot="1">
      <c r="A22" s="3"/>
      <c r="B22" s="5"/>
      <c r="C22" s="7"/>
      <c r="D22" s="3"/>
      <c r="E22" s="3"/>
    </row>
    <row r="23" spans="1:5" ht="16.5" thickBot="1">
      <c r="A23" s="3"/>
      <c r="B23" s="5"/>
      <c r="C23" s="7"/>
      <c r="D23" s="3"/>
      <c r="E23" s="3"/>
    </row>
    <row r="24" spans="1:5" ht="16.5" thickBot="1">
      <c r="A24" s="3"/>
      <c r="B24" s="5"/>
      <c r="C24" s="7"/>
      <c r="D24" s="3"/>
      <c r="E24" s="3"/>
    </row>
    <row r="25" spans="1:5" ht="16.5" thickBot="1">
      <c r="A25" s="3"/>
      <c r="B25" s="5"/>
      <c r="C25" s="7"/>
      <c r="D25" s="3"/>
      <c r="E25" s="3"/>
    </row>
    <row r="26" spans="1:5" ht="16.5" thickBot="1">
      <c r="A26" s="3"/>
      <c r="B26" s="5"/>
      <c r="C26" s="7"/>
      <c r="D26" s="3"/>
      <c r="E26" s="3"/>
    </row>
    <row r="27" spans="1:5" ht="16.5" thickBot="1">
      <c r="A27" s="3"/>
      <c r="B27" s="5"/>
      <c r="C27" s="7"/>
      <c r="D27" s="3"/>
      <c r="E27" s="3"/>
    </row>
    <row r="28" spans="1:5" ht="16.5" thickBot="1">
      <c r="A28" s="3"/>
      <c r="B28" s="5"/>
      <c r="C28" s="7"/>
      <c r="D28" s="3"/>
      <c r="E28" s="3"/>
    </row>
    <row r="29" spans="1:5" ht="16.5" thickBot="1">
      <c r="A29" s="3"/>
      <c r="B29" s="5"/>
      <c r="C29" s="7"/>
      <c r="D29" s="3"/>
      <c r="E29" s="3"/>
    </row>
    <row r="30" spans="1:5" ht="16.5" thickBot="1">
      <c r="A30" s="3"/>
      <c r="B30" s="5"/>
      <c r="C30" s="7"/>
      <c r="D30" s="3"/>
      <c r="E30" s="3"/>
    </row>
    <row r="31" spans="1:5" ht="16.5" thickBot="1">
      <c r="A31" s="3"/>
      <c r="B31" s="5"/>
      <c r="C31" s="7"/>
      <c r="D31" s="3"/>
      <c r="E31" s="3"/>
    </row>
    <row r="32" spans="1:5" ht="16.5" thickBot="1">
      <c r="A32" s="3"/>
      <c r="B32" s="5"/>
      <c r="C32" s="7"/>
      <c r="D32" s="3"/>
      <c r="E32" s="3"/>
    </row>
  </sheetData>
  <mergeCells count="2">
    <mergeCell ref="A1:E1"/>
    <mergeCell ref="A2:E2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AX126"/>
  <sheetViews>
    <sheetView tabSelected="1" topLeftCell="A39" zoomScale="90" zoomScaleNormal="90" workbookViewId="0">
      <pane xSplit="3" topLeftCell="D1" activePane="topRight" state="frozen"/>
      <selection activeCell="A10" sqref="A10"/>
      <selection pane="topRight" activeCell="C55" sqref="C55"/>
    </sheetView>
  </sheetViews>
  <sheetFormatPr defaultColWidth="9" defaultRowHeight="15"/>
  <cols>
    <col min="1" max="1" width="4.42578125" style="22" bestFit="1" customWidth="1"/>
    <col min="2" max="2" width="24.7109375" style="22" bestFit="1" customWidth="1"/>
    <col min="3" max="3" width="31.140625" style="22" customWidth="1"/>
    <col min="4" max="4" width="20.85546875" style="22" customWidth="1"/>
    <col min="5" max="5" width="20" style="22" customWidth="1"/>
    <col min="6" max="6" width="26.85546875" style="22" customWidth="1"/>
    <col min="7" max="7" width="19.28515625" style="22" customWidth="1"/>
    <col min="8" max="8" width="19.7109375" style="22" customWidth="1"/>
    <col min="9" max="9" width="12.5703125" style="22" customWidth="1"/>
    <col min="10" max="10" width="19.28515625" style="22" bestFit="1" customWidth="1"/>
    <col min="11" max="11" width="25.85546875" style="22" customWidth="1"/>
    <col min="12" max="12" width="38.7109375" style="22" bestFit="1" customWidth="1"/>
    <col min="13" max="13" width="41.5703125" style="22" bestFit="1" customWidth="1"/>
    <col min="14" max="16384" width="9" style="22"/>
  </cols>
  <sheetData>
    <row r="1" spans="1:50">
      <c r="B1" s="23" t="s">
        <v>117</v>
      </c>
      <c r="C1" s="24" t="s">
        <v>35</v>
      </c>
    </row>
    <row r="2" spans="1:50">
      <c r="B2" s="23" t="s">
        <v>118</v>
      </c>
      <c r="C2" s="24" t="s">
        <v>10</v>
      </c>
    </row>
    <row r="3" spans="1:50" ht="330">
      <c r="B3" s="23" t="s">
        <v>11</v>
      </c>
      <c r="C3" s="25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/api/v1.0.0/party/IC0002
POST (input): /api/v1.0.0/party/IC0002
POST (hold): /api/v1.0.0/party/IC0002/HOLD
PUT (input): /api/v1.0.0/party/IC0002
PUT (auth): /api/v1.0.0/party/IC0002/AUTH
PUT (hold): /api/v1.0.0/party/IC0002/HOLD
PUT (hrev): /api/v1.0.0/party/IC0002/HREV
DELETE (del): /api/v1.0.0/party/IC0002
DELETE (rev): /api/v1.0.0/party/IC0002/REVE</v>
      </c>
      <c r="E3" s="26"/>
    </row>
    <row r="4" spans="1:50" ht="105">
      <c r="B4" s="23" t="s">
        <v>12</v>
      </c>
      <c r="C4" s="27" t="s">
        <v>119</v>
      </c>
    </row>
    <row r="5" spans="1:50" ht="75">
      <c r="B5" s="23" t="s">
        <v>13</v>
      </c>
      <c r="C5" s="27" t="s">
        <v>181</v>
      </c>
    </row>
    <row r="6" spans="1:50">
      <c r="B6" s="23" t="s">
        <v>14</v>
      </c>
      <c r="C6" s="24" t="s">
        <v>15</v>
      </c>
    </row>
    <row r="7" spans="1:50">
      <c r="B7" s="23" t="s">
        <v>16</v>
      </c>
      <c r="C7" s="24" t="s">
        <v>36</v>
      </c>
    </row>
    <row r="8" spans="1:50">
      <c r="B8" s="23" t="s">
        <v>17</v>
      </c>
      <c r="C8" s="24" t="str">
        <f>C9&amp;",EB.API."&amp;$C$1&amp;".1.0.0"</f>
        <v>CUSTOMER,EB.API.IC0002.1.0.0</v>
      </c>
    </row>
    <row r="9" spans="1:50">
      <c r="B9" s="23" t="s">
        <v>18</v>
      </c>
      <c r="C9" s="24" t="s">
        <v>179</v>
      </c>
    </row>
    <row r="10" spans="1:50">
      <c r="B10" s="23" t="s">
        <v>19</v>
      </c>
      <c r="C10" s="24" t="s">
        <v>20</v>
      </c>
    </row>
    <row r="12" spans="1:50">
      <c r="A12" s="20" t="s">
        <v>21</v>
      </c>
      <c r="B12" s="20" t="s">
        <v>22</v>
      </c>
      <c r="C12" s="20" t="s">
        <v>37</v>
      </c>
      <c r="D12" s="20" t="s">
        <v>38</v>
      </c>
      <c r="E12" s="20" t="s">
        <v>39</v>
      </c>
      <c r="F12" s="20" t="s">
        <v>23</v>
      </c>
      <c r="G12" s="19" t="s">
        <v>40</v>
      </c>
      <c r="H12" s="19" t="s">
        <v>41</v>
      </c>
      <c r="I12" s="20" t="s">
        <v>42</v>
      </c>
      <c r="J12" s="20" t="s">
        <v>24</v>
      </c>
      <c r="K12" s="20" t="s">
        <v>43</v>
      </c>
      <c r="L12" s="20" t="s">
        <v>44</v>
      </c>
      <c r="M12" s="20" t="s">
        <v>45</v>
      </c>
    </row>
    <row r="13" spans="1:50">
      <c r="A13" s="20"/>
      <c r="B13" s="20" t="s">
        <v>46</v>
      </c>
      <c r="C13" s="20" t="s">
        <v>47</v>
      </c>
      <c r="D13" s="20" t="s">
        <v>48</v>
      </c>
      <c r="E13" s="20" t="s">
        <v>49</v>
      </c>
      <c r="F13" s="20" t="s">
        <v>50</v>
      </c>
      <c r="G13" s="19" t="s">
        <v>51</v>
      </c>
      <c r="H13" s="19" t="s">
        <v>52</v>
      </c>
      <c r="I13" s="20" t="s">
        <v>53</v>
      </c>
      <c r="J13" s="20" t="s">
        <v>54</v>
      </c>
      <c r="K13" s="20" t="s">
        <v>55</v>
      </c>
      <c r="L13" s="21" t="s">
        <v>56</v>
      </c>
      <c r="M13" s="21" t="s">
        <v>57</v>
      </c>
    </row>
    <row r="14" spans="1:50" s="28" customFormat="1">
      <c r="A14" s="28">
        <v>1</v>
      </c>
      <c r="B14" s="28" t="s">
        <v>89</v>
      </c>
      <c r="C14" s="31" t="s">
        <v>62</v>
      </c>
      <c r="D14" s="31" t="s">
        <v>182</v>
      </c>
      <c r="E14" s="31" t="s">
        <v>58</v>
      </c>
      <c r="F14" s="28">
        <v>34</v>
      </c>
      <c r="G14" s="35" t="s">
        <v>88</v>
      </c>
      <c r="H14" s="35" t="s">
        <v>88</v>
      </c>
      <c r="L14" s="34" t="s">
        <v>115</v>
      </c>
      <c r="M14" s="34" t="s">
        <v>169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</row>
    <row r="15" spans="1:50" s="28" customFormat="1" ht="120">
      <c r="A15" s="28">
        <v>2</v>
      </c>
      <c r="B15" s="28" t="s">
        <v>90</v>
      </c>
      <c r="C15" s="31" t="s">
        <v>63</v>
      </c>
      <c r="D15" s="31" t="s">
        <v>182</v>
      </c>
      <c r="E15" s="28" t="s">
        <v>59</v>
      </c>
      <c r="F15" s="28">
        <v>2</v>
      </c>
      <c r="G15" s="35" t="s">
        <v>88</v>
      </c>
      <c r="H15" s="35" t="s">
        <v>88</v>
      </c>
      <c r="K15" s="33" t="s">
        <v>120</v>
      </c>
      <c r="L15" s="34" t="s">
        <v>116</v>
      </c>
      <c r="M15" s="34" t="s">
        <v>125</v>
      </c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</row>
    <row r="16" spans="1:50" s="28" customFormat="1" ht="30">
      <c r="A16" s="28">
        <v>3</v>
      </c>
      <c r="B16" s="28" t="s">
        <v>91</v>
      </c>
      <c r="C16" s="31" t="s">
        <v>64</v>
      </c>
      <c r="D16" s="31" t="s">
        <v>182</v>
      </c>
      <c r="E16" s="28" t="s">
        <v>60</v>
      </c>
      <c r="F16" s="28">
        <v>20</v>
      </c>
      <c r="G16" s="35" t="s">
        <v>88</v>
      </c>
      <c r="H16" s="35" t="s">
        <v>88</v>
      </c>
      <c r="K16" s="33" t="s">
        <v>128</v>
      </c>
      <c r="L16" s="34" t="s">
        <v>123</v>
      </c>
      <c r="M16" s="34" t="s">
        <v>126</v>
      </c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</row>
    <row r="17" spans="1:50" s="28" customFormat="1">
      <c r="A17" s="28">
        <v>4</v>
      </c>
      <c r="B17" s="28" t="s">
        <v>92</v>
      </c>
      <c r="C17" s="31" t="s">
        <v>65</v>
      </c>
      <c r="D17" s="31" t="s">
        <v>183</v>
      </c>
      <c r="E17" s="28" t="s">
        <v>61</v>
      </c>
      <c r="F17" s="28">
        <v>100</v>
      </c>
      <c r="G17" s="35" t="s">
        <v>88</v>
      </c>
      <c r="H17" s="35" t="s">
        <v>88</v>
      </c>
      <c r="L17" s="34" t="s">
        <v>124</v>
      </c>
      <c r="M17" s="34" t="s">
        <v>124</v>
      </c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</row>
    <row r="18" spans="1:50" s="28" customFormat="1">
      <c r="A18" s="28">
        <v>5</v>
      </c>
      <c r="B18" s="28" t="s">
        <v>93</v>
      </c>
      <c r="C18" s="31" t="s">
        <v>66</v>
      </c>
      <c r="D18" s="31" t="s">
        <v>184</v>
      </c>
      <c r="E18" s="28" t="s">
        <v>59</v>
      </c>
      <c r="F18" s="28">
        <v>34</v>
      </c>
      <c r="G18" s="35" t="s">
        <v>88</v>
      </c>
      <c r="H18" s="35" t="s">
        <v>88</v>
      </c>
      <c r="L18" s="34" t="s">
        <v>127</v>
      </c>
      <c r="M18" s="34" t="s">
        <v>130</v>
      </c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</row>
    <row r="19" spans="1:50" s="28" customFormat="1" ht="30">
      <c r="A19" s="28">
        <v>6</v>
      </c>
      <c r="B19" s="34" t="s">
        <v>94</v>
      </c>
      <c r="C19" s="31" t="s">
        <v>67</v>
      </c>
      <c r="D19" s="31" t="s">
        <v>183</v>
      </c>
      <c r="E19" s="28" t="s">
        <v>61</v>
      </c>
      <c r="F19" s="28">
        <v>20</v>
      </c>
      <c r="G19" s="35" t="s">
        <v>88</v>
      </c>
      <c r="H19" s="35" t="s">
        <v>88</v>
      </c>
      <c r="K19" s="33" t="s">
        <v>128</v>
      </c>
      <c r="L19" s="34" t="s">
        <v>129</v>
      </c>
      <c r="M19" s="34" t="s">
        <v>131</v>
      </c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</row>
    <row r="20" spans="1:50" s="28" customFormat="1" ht="30">
      <c r="A20" s="28">
        <v>7</v>
      </c>
      <c r="B20" s="28" t="s">
        <v>95</v>
      </c>
      <c r="C20" s="31" t="s">
        <v>68</v>
      </c>
      <c r="D20" s="31" t="s">
        <v>184</v>
      </c>
      <c r="E20" s="28" t="s">
        <v>61</v>
      </c>
      <c r="F20" s="28">
        <v>20</v>
      </c>
      <c r="G20" s="35" t="s">
        <v>88</v>
      </c>
      <c r="H20" s="35" t="s">
        <v>88</v>
      </c>
      <c r="K20" s="33" t="s">
        <v>128</v>
      </c>
      <c r="L20" s="34" t="s">
        <v>132</v>
      </c>
      <c r="M20" s="34" t="s">
        <v>133</v>
      </c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</row>
    <row r="21" spans="1:50" s="28" customFormat="1" ht="30">
      <c r="A21" s="28">
        <v>8</v>
      </c>
      <c r="B21" s="34" t="s">
        <v>96</v>
      </c>
      <c r="C21" s="31" t="s">
        <v>69</v>
      </c>
      <c r="D21" s="31" t="s">
        <v>185</v>
      </c>
      <c r="E21" s="28" t="s">
        <v>61</v>
      </c>
      <c r="F21" s="28">
        <v>20</v>
      </c>
      <c r="G21" s="35" t="s">
        <v>88</v>
      </c>
      <c r="H21" s="35" t="s">
        <v>88</v>
      </c>
      <c r="K21" s="33" t="s">
        <v>128</v>
      </c>
      <c r="L21" s="34" t="s">
        <v>134</v>
      </c>
      <c r="M21" s="34" t="s">
        <v>135</v>
      </c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</row>
    <row r="22" spans="1:50" s="28" customFormat="1">
      <c r="A22" s="28">
        <v>9</v>
      </c>
      <c r="B22" s="28" t="s">
        <v>97</v>
      </c>
      <c r="C22" s="31" t="s">
        <v>70</v>
      </c>
      <c r="D22" s="31" t="s">
        <v>185</v>
      </c>
      <c r="E22" s="28" t="s">
        <v>58</v>
      </c>
      <c r="F22" s="28">
        <v>70</v>
      </c>
      <c r="G22" s="35" t="s">
        <v>88</v>
      </c>
      <c r="H22" s="35" t="s">
        <v>88</v>
      </c>
      <c r="L22" s="34" t="s">
        <v>136</v>
      </c>
      <c r="M22" s="34" t="s">
        <v>137</v>
      </c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</row>
    <row r="23" spans="1:50" s="28" customFormat="1">
      <c r="A23" s="28">
        <v>10</v>
      </c>
      <c r="B23" s="28" t="s">
        <v>98</v>
      </c>
      <c r="C23" s="31" t="s">
        <v>71</v>
      </c>
      <c r="D23" s="31" t="s">
        <v>185</v>
      </c>
      <c r="E23" s="28" t="s">
        <v>59</v>
      </c>
      <c r="F23" s="28">
        <v>120</v>
      </c>
      <c r="G23" s="35" t="s">
        <v>88</v>
      </c>
      <c r="H23" s="35" t="s">
        <v>88</v>
      </c>
      <c r="L23" s="34" t="s">
        <v>138</v>
      </c>
      <c r="M23" s="34" t="s">
        <v>140</v>
      </c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</row>
    <row r="24" spans="1:50" s="28" customFormat="1">
      <c r="A24" s="28">
        <v>11</v>
      </c>
      <c r="B24" s="28" t="s">
        <v>99</v>
      </c>
      <c r="C24" s="31" t="s">
        <v>72</v>
      </c>
      <c r="D24" s="31" t="s">
        <v>185</v>
      </c>
      <c r="E24" s="28" t="s">
        <v>59</v>
      </c>
      <c r="F24" s="33">
        <v>70</v>
      </c>
      <c r="G24" s="35" t="s">
        <v>88</v>
      </c>
      <c r="H24" s="35" t="s">
        <v>88</v>
      </c>
      <c r="J24" s="33"/>
      <c r="K24" s="33"/>
      <c r="L24" s="34" t="s">
        <v>142</v>
      </c>
      <c r="M24" s="34" t="s">
        <v>143</v>
      </c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</row>
    <row r="25" spans="1:50" s="28" customFormat="1">
      <c r="A25" s="28">
        <v>12</v>
      </c>
      <c r="B25" s="28" t="s">
        <v>100</v>
      </c>
      <c r="C25" s="31" t="s">
        <v>73</v>
      </c>
      <c r="D25" s="31" t="s">
        <v>185</v>
      </c>
      <c r="E25" s="28" t="s">
        <v>60</v>
      </c>
      <c r="F25" s="28">
        <v>70</v>
      </c>
      <c r="G25" s="35" t="s">
        <v>88</v>
      </c>
      <c r="H25" s="35" t="s">
        <v>88</v>
      </c>
      <c r="L25" s="34" t="s">
        <v>139</v>
      </c>
      <c r="M25" s="34" t="s">
        <v>141</v>
      </c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</row>
    <row r="26" spans="1:50" s="28" customFormat="1" ht="45">
      <c r="A26" s="28">
        <v>13</v>
      </c>
      <c r="B26" s="28" t="s">
        <v>106</v>
      </c>
      <c r="C26" s="31" t="s">
        <v>74</v>
      </c>
      <c r="D26" s="31"/>
      <c r="F26" s="28">
        <v>2</v>
      </c>
      <c r="G26" s="35" t="s">
        <v>88</v>
      </c>
      <c r="H26" s="35" t="s">
        <v>88</v>
      </c>
      <c r="K26" s="33" t="s">
        <v>145</v>
      </c>
      <c r="L26" s="34" t="s">
        <v>144</v>
      </c>
      <c r="M26" s="34" t="s">
        <v>146</v>
      </c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</row>
    <row r="27" spans="1:50" s="28" customFormat="1" ht="30">
      <c r="A27" s="28">
        <v>14</v>
      </c>
      <c r="B27" s="28" t="s">
        <v>101</v>
      </c>
      <c r="C27" s="31" t="s">
        <v>75</v>
      </c>
      <c r="E27" s="28" t="s">
        <v>61</v>
      </c>
      <c r="F27" s="28">
        <v>1</v>
      </c>
      <c r="G27" s="35" t="s">
        <v>88</v>
      </c>
      <c r="H27" s="35" t="s">
        <v>88</v>
      </c>
      <c r="K27" s="33" t="s">
        <v>148</v>
      </c>
      <c r="L27" s="34" t="s">
        <v>147</v>
      </c>
      <c r="M27" s="34" t="s">
        <v>170</v>
      </c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</row>
    <row r="28" spans="1:50" s="28" customFormat="1" ht="30">
      <c r="A28" s="28">
        <v>15</v>
      </c>
      <c r="B28" s="28" t="s">
        <v>102</v>
      </c>
      <c r="C28" s="31" t="s">
        <v>76</v>
      </c>
      <c r="F28" s="28">
        <v>1</v>
      </c>
      <c r="G28" s="35" t="s">
        <v>88</v>
      </c>
      <c r="H28" s="35" t="s">
        <v>88</v>
      </c>
      <c r="K28" s="33" t="s">
        <v>148</v>
      </c>
      <c r="L28" s="34" t="s">
        <v>149</v>
      </c>
      <c r="M28" s="34" t="s">
        <v>171</v>
      </c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</row>
    <row r="29" spans="1:50" s="28" customFormat="1" ht="30">
      <c r="A29" s="28">
        <v>16</v>
      </c>
      <c r="B29" s="28" t="s">
        <v>103</v>
      </c>
      <c r="C29" s="31" t="s">
        <v>77</v>
      </c>
      <c r="D29" s="31"/>
      <c r="F29" s="28">
        <v>1</v>
      </c>
      <c r="G29" s="35" t="s">
        <v>88</v>
      </c>
      <c r="H29" s="35" t="s">
        <v>88</v>
      </c>
      <c r="K29" s="33" t="s">
        <v>148</v>
      </c>
      <c r="L29" s="34" t="s">
        <v>150</v>
      </c>
      <c r="M29" s="34" t="s">
        <v>172</v>
      </c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</row>
    <row r="30" spans="1:50" s="28" customFormat="1" ht="30">
      <c r="A30" s="28">
        <v>17</v>
      </c>
      <c r="B30" s="28" t="s">
        <v>104</v>
      </c>
      <c r="C30" s="31" t="s">
        <v>78</v>
      </c>
      <c r="F30" s="28">
        <v>1</v>
      </c>
      <c r="G30" s="35" t="s">
        <v>88</v>
      </c>
      <c r="H30" s="35" t="s">
        <v>88</v>
      </c>
      <c r="K30" s="33" t="s">
        <v>159</v>
      </c>
      <c r="L30" s="34" t="s">
        <v>151</v>
      </c>
      <c r="M30" s="34" t="s">
        <v>173</v>
      </c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</row>
    <row r="31" spans="1:50" s="28" customFormat="1" ht="75">
      <c r="A31" s="28">
        <v>18</v>
      </c>
      <c r="B31" s="28" t="s">
        <v>105</v>
      </c>
      <c r="C31" s="31" t="s">
        <v>79</v>
      </c>
      <c r="F31" s="28">
        <v>70</v>
      </c>
      <c r="G31" s="35" t="s">
        <v>88</v>
      </c>
      <c r="H31" s="35" t="s">
        <v>88</v>
      </c>
      <c r="K31" s="33" t="s">
        <v>160</v>
      </c>
      <c r="L31" s="31" t="s">
        <v>153</v>
      </c>
      <c r="M31" s="34" t="s">
        <v>168</v>
      </c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</row>
    <row r="32" spans="1:50" s="28" customFormat="1" ht="60">
      <c r="A32" s="28">
        <v>19</v>
      </c>
      <c r="B32" s="28" t="s">
        <v>107</v>
      </c>
      <c r="C32" s="31" t="s">
        <v>80</v>
      </c>
      <c r="F32" s="28">
        <v>70</v>
      </c>
      <c r="G32" s="35" t="s">
        <v>88</v>
      </c>
      <c r="H32" s="35" t="s">
        <v>88</v>
      </c>
      <c r="K32" s="33" t="s">
        <v>161</v>
      </c>
      <c r="L32" s="28" t="s">
        <v>154</v>
      </c>
      <c r="M32" s="28" t="s">
        <v>166</v>
      </c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</row>
    <row r="33" spans="1:50" s="28" customFormat="1" ht="60">
      <c r="A33" s="28">
        <v>20</v>
      </c>
      <c r="B33" s="28" t="s">
        <v>108</v>
      </c>
      <c r="C33" s="31" t="s">
        <v>81</v>
      </c>
      <c r="F33" s="33">
        <v>70</v>
      </c>
      <c r="G33" s="35" t="s">
        <v>88</v>
      </c>
      <c r="H33" s="35" t="s">
        <v>88</v>
      </c>
      <c r="J33" s="33"/>
      <c r="K33" s="33" t="s">
        <v>161</v>
      </c>
      <c r="L33" s="28" t="s">
        <v>155</v>
      </c>
      <c r="M33" s="28" t="s">
        <v>167</v>
      </c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</row>
    <row r="34" spans="1:50" s="28" customFormat="1" ht="60">
      <c r="A34" s="28">
        <v>21</v>
      </c>
      <c r="B34" s="28" t="s">
        <v>109</v>
      </c>
      <c r="C34" s="31" t="s">
        <v>82</v>
      </c>
      <c r="F34" s="28">
        <v>4</v>
      </c>
      <c r="G34" s="35" t="s">
        <v>88</v>
      </c>
      <c r="H34" s="35" t="s">
        <v>88</v>
      </c>
      <c r="K34" s="33" t="s">
        <v>161</v>
      </c>
      <c r="L34" s="28" t="s">
        <v>156</v>
      </c>
      <c r="M34" s="33" t="s">
        <v>164</v>
      </c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</row>
    <row r="35" spans="1:50" s="28" customFormat="1" ht="60">
      <c r="A35" s="28">
        <v>22</v>
      </c>
      <c r="B35" s="28" t="s">
        <v>110</v>
      </c>
      <c r="C35" s="31" t="s">
        <v>83</v>
      </c>
      <c r="F35" s="28">
        <v>4</v>
      </c>
      <c r="G35" s="35" t="s">
        <v>88</v>
      </c>
      <c r="H35" s="35" t="s">
        <v>88</v>
      </c>
      <c r="K35" s="33" t="s">
        <v>161</v>
      </c>
      <c r="L35" s="28" t="s">
        <v>157</v>
      </c>
      <c r="M35" s="28" t="s">
        <v>165</v>
      </c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</row>
    <row r="36" spans="1:50" s="28" customFormat="1">
      <c r="A36" s="28">
        <v>23</v>
      </c>
      <c r="B36" s="28" t="s">
        <v>113</v>
      </c>
      <c r="C36" s="31" t="s">
        <v>84</v>
      </c>
      <c r="F36" s="28">
        <v>1</v>
      </c>
      <c r="G36" s="35" t="s">
        <v>88</v>
      </c>
      <c r="H36" s="35" t="s">
        <v>88</v>
      </c>
      <c r="L36" s="28" t="s">
        <v>152</v>
      </c>
      <c r="M36" s="34" t="s">
        <v>174</v>
      </c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</row>
    <row r="37" spans="1:50" s="28" customFormat="1" ht="60">
      <c r="A37" s="28">
        <v>24</v>
      </c>
      <c r="B37" s="28" t="s">
        <v>111</v>
      </c>
      <c r="C37" s="31" t="s">
        <v>85</v>
      </c>
      <c r="F37" s="28">
        <v>4</v>
      </c>
      <c r="G37" s="35" t="s">
        <v>88</v>
      </c>
      <c r="H37" s="35" t="s">
        <v>88</v>
      </c>
      <c r="K37" s="33" t="s">
        <v>161</v>
      </c>
      <c r="L37" s="28" t="s">
        <v>121</v>
      </c>
      <c r="M37" s="34" t="s">
        <v>176</v>
      </c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</row>
    <row r="38" spans="1:50" s="28" customFormat="1" ht="60">
      <c r="A38" s="28">
        <v>25</v>
      </c>
      <c r="B38" s="28" t="s">
        <v>112</v>
      </c>
      <c r="C38" s="31" t="s">
        <v>86</v>
      </c>
      <c r="F38" s="28">
        <v>4</v>
      </c>
      <c r="G38" s="35" t="s">
        <v>88</v>
      </c>
      <c r="H38" s="35" t="s">
        <v>88</v>
      </c>
      <c r="K38" s="33" t="s">
        <v>161</v>
      </c>
      <c r="L38" s="31" t="s">
        <v>158</v>
      </c>
      <c r="M38" s="34" t="s">
        <v>175</v>
      </c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</row>
    <row r="39" spans="1:50" s="28" customFormat="1" ht="105">
      <c r="A39" s="28">
        <v>26</v>
      </c>
      <c r="B39" s="28" t="s">
        <v>114</v>
      </c>
      <c r="C39" s="31" t="s">
        <v>87</v>
      </c>
      <c r="F39" s="28">
        <v>70</v>
      </c>
      <c r="G39" s="35" t="s">
        <v>88</v>
      </c>
      <c r="H39" s="35" t="s">
        <v>88</v>
      </c>
      <c r="K39" s="33" t="s">
        <v>162</v>
      </c>
      <c r="L39" s="31" t="s">
        <v>122</v>
      </c>
      <c r="M39" s="34" t="s">
        <v>163</v>
      </c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</row>
    <row r="40" spans="1:50" s="36" customFormat="1" ht="75">
      <c r="A40" s="28">
        <v>27</v>
      </c>
      <c r="B40" s="31" t="s">
        <v>215</v>
      </c>
      <c r="C40" s="31" t="s">
        <v>207</v>
      </c>
      <c r="D40" s="31"/>
      <c r="E40" s="31"/>
      <c r="F40" s="31">
        <v>25</v>
      </c>
      <c r="G40" s="40" t="s">
        <v>88</v>
      </c>
      <c r="H40" s="40" t="s">
        <v>88</v>
      </c>
      <c r="I40" s="31"/>
      <c r="J40" s="31"/>
      <c r="K40" s="41" t="s">
        <v>227</v>
      </c>
      <c r="L40" s="31" t="s">
        <v>216</v>
      </c>
      <c r="M40" s="31" t="s">
        <v>287</v>
      </c>
    </row>
    <row r="41" spans="1:50">
      <c r="A41" s="28">
        <v>28</v>
      </c>
      <c r="B41" s="31" t="s">
        <v>217</v>
      </c>
      <c r="C41" s="31" t="s">
        <v>208</v>
      </c>
      <c r="D41" s="31"/>
      <c r="E41" s="31"/>
      <c r="F41" s="31">
        <v>25</v>
      </c>
      <c r="G41" s="40" t="s">
        <v>88</v>
      </c>
      <c r="H41" s="40" t="s">
        <v>88</v>
      </c>
      <c r="I41" s="31"/>
      <c r="J41" s="31"/>
      <c r="K41" s="31"/>
      <c r="L41" s="42" t="s">
        <v>218</v>
      </c>
      <c r="M41" s="42" t="s">
        <v>288</v>
      </c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</row>
    <row r="42" spans="1:50">
      <c r="A42" s="28">
        <v>29</v>
      </c>
      <c r="B42" s="31" t="s">
        <v>219</v>
      </c>
      <c r="C42" s="31" t="s">
        <v>209</v>
      </c>
      <c r="D42" s="31"/>
      <c r="E42" s="31"/>
      <c r="F42" s="31">
        <v>27</v>
      </c>
      <c r="G42" s="40" t="s">
        <v>88</v>
      </c>
      <c r="H42" s="40" t="s">
        <v>88</v>
      </c>
      <c r="I42" s="31"/>
      <c r="J42" s="31"/>
      <c r="K42" s="31" t="s">
        <v>286</v>
      </c>
      <c r="L42" s="42" t="s">
        <v>220</v>
      </c>
      <c r="M42" s="42" t="s">
        <v>289</v>
      </c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</row>
    <row r="43" spans="1:50">
      <c r="A43" s="28">
        <v>30</v>
      </c>
      <c r="B43" s="31" t="s">
        <v>204</v>
      </c>
      <c r="C43" s="31" t="s">
        <v>210</v>
      </c>
      <c r="D43" s="31"/>
      <c r="E43" s="31"/>
      <c r="F43" s="31">
        <v>25</v>
      </c>
      <c r="G43" s="40" t="s">
        <v>88</v>
      </c>
      <c r="H43" s="40" t="s">
        <v>88</v>
      </c>
      <c r="I43" s="31"/>
      <c r="J43" s="41"/>
      <c r="K43" s="41"/>
      <c r="L43" s="42" t="s">
        <v>221</v>
      </c>
      <c r="M43" s="42" t="s">
        <v>290</v>
      </c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</row>
    <row r="44" spans="1:50">
      <c r="A44" s="28">
        <v>31</v>
      </c>
      <c r="B44" s="31" t="s">
        <v>205</v>
      </c>
      <c r="C44" s="31" t="s">
        <v>211</v>
      </c>
      <c r="D44" s="31"/>
      <c r="E44" s="31"/>
      <c r="F44" s="31">
        <v>25</v>
      </c>
      <c r="G44" s="40" t="s">
        <v>88</v>
      </c>
      <c r="H44" s="40" t="s">
        <v>88</v>
      </c>
      <c r="I44" s="31"/>
      <c r="J44" s="31"/>
      <c r="K44" s="31" t="s">
        <v>285</v>
      </c>
      <c r="L44" s="42" t="s">
        <v>222</v>
      </c>
      <c r="M44" s="31" t="s">
        <v>291</v>
      </c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</row>
    <row r="45" spans="1:50">
      <c r="A45" s="28">
        <v>32</v>
      </c>
      <c r="B45" s="31" t="s">
        <v>223</v>
      </c>
      <c r="C45" s="31" t="s">
        <v>212</v>
      </c>
      <c r="D45" s="31"/>
      <c r="E45" s="31"/>
      <c r="F45" s="31">
        <v>30</v>
      </c>
      <c r="G45" s="40" t="s">
        <v>88</v>
      </c>
      <c r="H45" s="40" t="s">
        <v>88</v>
      </c>
      <c r="I45" s="31"/>
      <c r="J45" s="31"/>
      <c r="K45" s="31"/>
      <c r="L45" s="42" t="s">
        <v>224</v>
      </c>
      <c r="M45" s="42" t="s">
        <v>292</v>
      </c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</row>
    <row r="46" spans="1:50" ht="60">
      <c r="A46" s="28">
        <v>33</v>
      </c>
      <c r="B46" s="31" t="s">
        <v>206</v>
      </c>
      <c r="C46" s="31" t="s">
        <v>213</v>
      </c>
      <c r="D46" s="31"/>
      <c r="E46" s="31"/>
      <c r="F46" s="31">
        <v>25</v>
      </c>
      <c r="G46" s="40" t="s">
        <v>88</v>
      </c>
      <c r="H46" s="40" t="s">
        <v>88</v>
      </c>
      <c r="I46" s="31"/>
      <c r="J46" s="31"/>
      <c r="K46" s="41" t="s">
        <v>161</v>
      </c>
      <c r="L46" s="31" t="s">
        <v>177</v>
      </c>
      <c r="M46" s="31" t="s">
        <v>178</v>
      </c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</row>
    <row r="47" spans="1:50">
      <c r="A47" s="28">
        <v>34</v>
      </c>
      <c r="B47" s="31" t="s">
        <v>225</v>
      </c>
      <c r="C47" s="31" t="s">
        <v>214</v>
      </c>
      <c r="D47" s="31"/>
      <c r="E47" s="31"/>
      <c r="F47" s="31">
        <v>13</v>
      </c>
      <c r="G47" s="40" t="s">
        <v>88</v>
      </c>
      <c r="H47" s="40" t="s">
        <v>88</v>
      </c>
      <c r="I47" s="31"/>
      <c r="J47" s="41"/>
      <c r="K47" s="41"/>
      <c r="L47" s="42" t="s">
        <v>226</v>
      </c>
      <c r="M47" s="42" t="s">
        <v>293</v>
      </c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</row>
    <row r="48" spans="1:50">
      <c r="A48" s="31">
        <v>35</v>
      </c>
      <c r="B48" s="31" t="s">
        <v>333</v>
      </c>
      <c r="C48" s="31" t="s">
        <v>295</v>
      </c>
      <c r="D48" s="31"/>
      <c r="E48" s="31"/>
      <c r="F48" s="31">
        <v>50</v>
      </c>
      <c r="G48" s="56" t="s">
        <v>296</v>
      </c>
      <c r="H48" s="56" t="s">
        <v>296</v>
      </c>
      <c r="I48" s="56"/>
      <c r="J48" s="40"/>
      <c r="K48" s="42"/>
      <c r="L48" s="42" t="s">
        <v>297</v>
      </c>
      <c r="M48" s="31" t="s">
        <v>298</v>
      </c>
    </row>
    <row r="49" spans="1:50">
      <c r="A49" s="31">
        <v>36</v>
      </c>
      <c r="B49" s="31" t="s">
        <v>299</v>
      </c>
      <c r="C49" s="31" t="s">
        <v>300</v>
      </c>
      <c r="D49" s="31"/>
      <c r="E49" s="31"/>
      <c r="F49" s="31">
        <v>16</v>
      </c>
      <c r="G49" s="56" t="s">
        <v>296</v>
      </c>
      <c r="H49" s="56" t="s">
        <v>296</v>
      </c>
      <c r="I49" s="56"/>
      <c r="J49" s="40"/>
      <c r="K49" s="42"/>
      <c r="L49" s="42" t="s">
        <v>301</v>
      </c>
      <c r="M49" s="31" t="s">
        <v>302</v>
      </c>
    </row>
    <row r="50" spans="1:50">
      <c r="A50" s="31">
        <v>37</v>
      </c>
      <c r="B50" s="31" t="s">
        <v>303</v>
      </c>
      <c r="C50" s="31" t="s">
        <v>304</v>
      </c>
      <c r="D50" s="31"/>
      <c r="E50" s="31"/>
      <c r="F50" s="31">
        <v>16</v>
      </c>
      <c r="G50" s="56" t="s">
        <v>296</v>
      </c>
      <c r="H50" s="56" t="s">
        <v>296</v>
      </c>
      <c r="I50" s="56"/>
      <c r="J50" s="40"/>
      <c r="K50" s="42"/>
      <c r="L50" s="42" t="s">
        <v>305</v>
      </c>
      <c r="M50" s="31" t="s">
        <v>306</v>
      </c>
    </row>
    <row r="51" spans="1:50">
      <c r="A51" s="31">
        <v>38</v>
      </c>
      <c r="B51" s="57" t="s">
        <v>307</v>
      </c>
      <c r="C51" s="57" t="s">
        <v>308</v>
      </c>
      <c r="D51" s="57"/>
      <c r="E51" s="57"/>
      <c r="F51" s="58">
        <v>5</v>
      </c>
      <c r="G51" s="56" t="s">
        <v>296</v>
      </c>
      <c r="H51" s="56" t="s">
        <v>296</v>
      </c>
      <c r="I51" s="57"/>
      <c r="J51" s="57"/>
      <c r="K51" s="57" t="s">
        <v>309</v>
      </c>
      <c r="L51" s="59" t="s">
        <v>310</v>
      </c>
      <c r="M51" s="57" t="s">
        <v>311</v>
      </c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</row>
    <row r="52" spans="1:50">
      <c r="A52" s="31">
        <v>39</v>
      </c>
      <c r="B52" s="57" t="s">
        <v>312</v>
      </c>
      <c r="C52" s="57" t="s">
        <v>313</v>
      </c>
      <c r="D52" s="57"/>
      <c r="E52" s="57"/>
      <c r="F52" s="58">
        <v>9</v>
      </c>
      <c r="G52" s="56" t="s">
        <v>296</v>
      </c>
      <c r="H52" s="56" t="s">
        <v>296</v>
      </c>
      <c r="I52" s="57"/>
      <c r="J52" s="57"/>
      <c r="K52" s="57" t="s">
        <v>314</v>
      </c>
      <c r="L52" s="59" t="s">
        <v>315</v>
      </c>
      <c r="M52" s="57" t="s">
        <v>316</v>
      </c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</row>
    <row r="53" spans="1:50">
      <c r="A53" s="31">
        <v>40</v>
      </c>
      <c r="B53" s="57" t="s">
        <v>317</v>
      </c>
      <c r="C53" s="57" t="s">
        <v>318</v>
      </c>
      <c r="D53" s="57" t="s">
        <v>331</v>
      </c>
      <c r="E53" s="57" t="s">
        <v>327</v>
      </c>
      <c r="F53" s="58">
        <v>1</v>
      </c>
      <c r="G53" s="56" t="s">
        <v>296</v>
      </c>
      <c r="H53" s="56" t="s">
        <v>296</v>
      </c>
      <c r="I53" s="57"/>
      <c r="J53" s="57"/>
      <c r="K53" s="57" t="s">
        <v>319</v>
      </c>
      <c r="L53" s="59" t="s">
        <v>320</v>
      </c>
      <c r="M53" s="57" t="s">
        <v>321</v>
      </c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</row>
    <row r="54" spans="1:50">
      <c r="A54" s="31">
        <v>41</v>
      </c>
      <c r="B54" s="57" t="s">
        <v>322</v>
      </c>
      <c r="C54" s="57" t="s">
        <v>323</v>
      </c>
      <c r="D54" s="57" t="s">
        <v>332</v>
      </c>
      <c r="E54" s="57" t="s">
        <v>327</v>
      </c>
      <c r="F54" s="58">
        <v>8</v>
      </c>
      <c r="G54" s="56" t="s">
        <v>296</v>
      </c>
      <c r="H54" s="56" t="s">
        <v>296</v>
      </c>
      <c r="I54" s="57"/>
      <c r="J54" s="57"/>
      <c r="K54" s="57" t="s">
        <v>324</v>
      </c>
      <c r="L54" s="59" t="s">
        <v>325</v>
      </c>
      <c r="M54" s="57" t="s">
        <v>326</v>
      </c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</row>
    <row r="55" spans="1:50">
      <c r="A55" s="36">
        <v>42</v>
      </c>
      <c r="B55" s="36" t="s">
        <v>341</v>
      </c>
      <c r="C55" s="36" t="s">
        <v>342</v>
      </c>
      <c r="D55" s="36"/>
      <c r="E55" s="36"/>
      <c r="F55" s="60" t="s">
        <v>334</v>
      </c>
      <c r="G55" s="53" t="s">
        <v>296</v>
      </c>
      <c r="H55" s="53" t="s">
        <v>335</v>
      </c>
      <c r="I55" s="36"/>
      <c r="J55" s="36"/>
      <c r="K55" s="36"/>
      <c r="L55" s="36" t="s">
        <v>336</v>
      </c>
      <c r="M55" s="36" t="s">
        <v>337</v>
      </c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</row>
    <row r="56" spans="1:50">
      <c r="A56" s="28"/>
      <c r="B56" s="28"/>
      <c r="C56" s="31"/>
      <c r="D56" s="28"/>
      <c r="E56" s="28"/>
      <c r="F56" s="28"/>
      <c r="G56" s="18"/>
      <c r="H56" s="18"/>
      <c r="I56" s="28"/>
      <c r="J56" s="28"/>
      <c r="K56" s="28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</row>
    <row r="57" spans="1:50">
      <c r="A57" s="28"/>
      <c r="B57" s="28"/>
      <c r="C57" s="31"/>
      <c r="D57" s="28"/>
      <c r="E57" s="28"/>
      <c r="F57" s="28"/>
      <c r="G57" s="18"/>
      <c r="H57" s="18"/>
      <c r="I57" s="28"/>
      <c r="J57" s="28"/>
      <c r="K57" s="28"/>
      <c r="L57" s="32"/>
      <c r="M57" s="30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</row>
    <row r="58" spans="1:50">
      <c r="A58" s="28"/>
      <c r="B58" s="28"/>
      <c r="C58" s="31"/>
      <c r="D58" s="28"/>
      <c r="E58" s="28"/>
      <c r="F58" s="28"/>
      <c r="G58" s="18"/>
      <c r="H58" s="18"/>
      <c r="I58" s="28"/>
      <c r="J58" s="28"/>
      <c r="K58" s="28"/>
      <c r="L58" s="32"/>
      <c r="M58" s="30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</row>
    <row r="59" spans="1:50">
      <c r="A59" s="28"/>
      <c r="B59" s="28"/>
      <c r="C59" s="31"/>
      <c r="D59" s="28"/>
      <c r="E59" s="28"/>
      <c r="F59" s="28"/>
      <c r="G59" s="18"/>
      <c r="H59" s="18"/>
      <c r="I59" s="28"/>
      <c r="J59" s="28"/>
      <c r="K59" s="28"/>
      <c r="L59" s="32"/>
      <c r="M59" s="30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</row>
    <row r="60" spans="1:50">
      <c r="A60" s="28"/>
      <c r="B60" s="28"/>
      <c r="C60" s="31"/>
      <c r="D60" s="28"/>
      <c r="E60" s="28"/>
      <c r="F60" s="28"/>
      <c r="G60" s="18"/>
      <c r="H60" s="18"/>
      <c r="I60" s="28"/>
      <c r="J60" s="28"/>
      <c r="K60" s="28"/>
      <c r="L60" s="32"/>
      <c r="M60" s="30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</row>
    <row r="61" spans="1:50">
      <c r="A61" s="28"/>
      <c r="B61" s="28"/>
      <c r="C61" s="31"/>
      <c r="D61" s="28"/>
      <c r="E61" s="28"/>
      <c r="F61" s="28"/>
      <c r="G61" s="18"/>
      <c r="H61" s="18"/>
      <c r="I61" s="28"/>
      <c r="J61" s="28"/>
      <c r="K61" s="28"/>
      <c r="L61" s="32"/>
      <c r="M61" s="30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</row>
    <row r="62" spans="1:50">
      <c r="A62" s="28"/>
      <c r="B62" s="28"/>
      <c r="C62" s="31"/>
      <c r="D62" s="28"/>
      <c r="E62" s="28"/>
      <c r="F62" s="28"/>
      <c r="G62" s="18"/>
      <c r="H62" s="18"/>
      <c r="I62" s="28"/>
      <c r="J62" s="28"/>
      <c r="K62" s="28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</row>
    <row r="63" spans="1:50">
      <c r="A63" s="28"/>
      <c r="B63" s="28"/>
      <c r="C63" s="31"/>
      <c r="D63" s="28"/>
      <c r="E63" s="28"/>
      <c r="F63" s="28"/>
      <c r="G63" s="18"/>
      <c r="H63" s="18"/>
      <c r="I63" s="28"/>
      <c r="J63" s="28"/>
      <c r="K63" s="28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</row>
    <row r="64" spans="1:50">
      <c r="A64" s="28"/>
      <c r="B64" s="28"/>
      <c r="C64" s="31"/>
      <c r="D64" s="31"/>
      <c r="E64" s="28"/>
      <c r="F64" s="28"/>
      <c r="G64" s="18"/>
      <c r="H64" s="18"/>
      <c r="I64" s="28"/>
      <c r="J64" s="28"/>
      <c r="K64" s="28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</row>
    <row r="65" spans="1:50">
      <c r="A65" s="28"/>
      <c r="B65" s="28"/>
      <c r="C65" s="31"/>
      <c r="D65" s="28"/>
      <c r="E65" s="28"/>
      <c r="F65" s="28"/>
      <c r="G65" s="18"/>
      <c r="H65" s="18"/>
      <c r="I65" s="28"/>
      <c r="J65" s="28"/>
      <c r="K65" s="28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</row>
    <row r="66" spans="1:50">
      <c r="A66" s="28"/>
      <c r="B66" s="28"/>
      <c r="C66" s="31"/>
      <c r="D66" s="28"/>
      <c r="E66" s="28"/>
      <c r="F66" s="28"/>
      <c r="G66" s="18"/>
      <c r="H66" s="18"/>
      <c r="I66" s="28"/>
      <c r="J66" s="28"/>
      <c r="K66" s="28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</row>
    <row r="67" spans="1:50">
      <c r="A67" s="28"/>
      <c r="B67" s="28"/>
      <c r="C67" s="31"/>
      <c r="D67" s="31"/>
      <c r="E67" s="28"/>
      <c r="F67" s="28"/>
      <c r="G67" s="18"/>
      <c r="H67" s="18"/>
      <c r="I67" s="28"/>
      <c r="J67" s="28"/>
      <c r="K67" s="28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</row>
    <row r="68" spans="1:50">
      <c r="A68" s="28"/>
      <c r="B68" s="28"/>
      <c r="C68" s="31"/>
      <c r="D68" s="31"/>
      <c r="E68" s="28"/>
      <c r="F68" s="28"/>
      <c r="G68" s="18"/>
      <c r="H68" s="18"/>
      <c r="I68" s="28"/>
      <c r="J68" s="28"/>
      <c r="K68" s="28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</row>
    <row r="69" spans="1:50">
      <c r="A69" s="28"/>
      <c r="B69" s="28"/>
      <c r="C69" s="31"/>
      <c r="D69" s="28"/>
      <c r="E69" s="28"/>
      <c r="F69" s="28"/>
      <c r="G69" s="18"/>
      <c r="H69" s="18"/>
      <c r="I69" s="28"/>
      <c r="J69" s="28"/>
      <c r="K69" s="28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</row>
    <row r="70" spans="1:50">
      <c r="A70" s="28"/>
      <c r="B70" s="28"/>
      <c r="C70" s="31"/>
      <c r="D70" s="28"/>
      <c r="E70" s="28"/>
      <c r="F70" s="28"/>
      <c r="G70" s="18"/>
      <c r="H70" s="18"/>
      <c r="I70" s="28"/>
      <c r="J70" s="28"/>
      <c r="K70" s="28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</row>
    <row r="71" spans="1:50">
      <c r="A71" s="28"/>
      <c r="B71" s="28"/>
      <c r="C71" s="31"/>
      <c r="D71" s="28"/>
      <c r="E71" s="28"/>
      <c r="F71" s="28"/>
      <c r="G71" s="18"/>
      <c r="H71" s="18"/>
      <c r="I71" s="28"/>
      <c r="J71" s="28"/>
      <c r="K71" s="28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</row>
    <row r="72" spans="1:50">
      <c r="A72" s="28"/>
      <c r="B72" s="28"/>
      <c r="C72" s="31"/>
      <c r="D72" s="28"/>
      <c r="E72" s="28"/>
      <c r="F72" s="28"/>
      <c r="G72" s="18"/>
      <c r="H72" s="18"/>
      <c r="I72" s="28"/>
      <c r="J72" s="28"/>
      <c r="K72" s="28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</row>
    <row r="73" spans="1:50">
      <c r="A73" s="28"/>
      <c r="B73" s="28"/>
      <c r="C73" s="31"/>
      <c r="D73" s="28"/>
      <c r="E73" s="28"/>
      <c r="F73" s="28"/>
      <c r="G73" s="18"/>
      <c r="H73" s="18"/>
      <c r="I73" s="28"/>
      <c r="J73" s="28"/>
      <c r="K73" s="28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</row>
    <row r="74" spans="1:50">
      <c r="A74" s="28"/>
      <c r="B74" s="28"/>
      <c r="C74" s="31"/>
      <c r="D74" s="28"/>
      <c r="E74" s="28"/>
      <c r="F74" s="28"/>
      <c r="G74" s="18"/>
      <c r="H74" s="18"/>
      <c r="I74" s="28"/>
      <c r="J74" s="28"/>
      <c r="K74" s="28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</row>
    <row r="75" spans="1:50">
      <c r="A75" s="28"/>
      <c r="B75" s="28"/>
      <c r="C75" s="31"/>
      <c r="D75" s="28"/>
      <c r="E75" s="28"/>
      <c r="F75" s="28"/>
      <c r="G75" s="18"/>
      <c r="H75" s="18"/>
      <c r="I75" s="28"/>
      <c r="J75" s="28"/>
      <c r="K75" s="28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</row>
    <row r="76" spans="1:50">
      <c r="A76" s="28"/>
      <c r="B76" s="28"/>
      <c r="C76" s="31"/>
      <c r="D76" s="28"/>
      <c r="E76" s="28"/>
      <c r="F76" s="28"/>
      <c r="G76" s="18"/>
      <c r="H76" s="18"/>
      <c r="I76" s="28"/>
      <c r="J76" s="28"/>
      <c r="K76" s="28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</row>
    <row r="77" spans="1:50">
      <c r="A77" s="28"/>
      <c r="B77" s="28"/>
      <c r="C77" s="31"/>
      <c r="D77" s="28"/>
      <c r="E77" s="28"/>
      <c r="F77" s="28"/>
      <c r="G77" s="18"/>
      <c r="H77" s="18"/>
      <c r="I77" s="28"/>
      <c r="J77" s="28"/>
      <c r="K77" s="28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</row>
    <row r="78" spans="1:50">
      <c r="A78" s="28"/>
      <c r="B78" s="28"/>
      <c r="C78" s="31"/>
      <c r="D78" s="28"/>
      <c r="E78" s="28"/>
      <c r="F78" s="28"/>
      <c r="G78" s="18"/>
      <c r="H78" s="18"/>
      <c r="I78" s="28"/>
      <c r="J78" s="28"/>
      <c r="K78" s="28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</row>
    <row r="79" spans="1:50">
      <c r="A79" s="28"/>
      <c r="B79" s="28"/>
      <c r="C79" s="31"/>
      <c r="D79" s="28"/>
      <c r="E79" s="28"/>
      <c r="F79" s="28"/>
      <c r="G79" s="18"/>
      <c r="H79" s="18"/>
      <c r="I79" s="28"/>
      <c r="J79" s="28"/>
      <c r="K79" s="28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</row>
    <row r="80" spans="1:50">
      <c r="A80" s="28"/>
      <c r="B80" s="28"/>
      <c r="C80" s="31"/>
      <c r="D80" s="28"/>
      <c r="E80" s="28"/>
      <c r="F80" s="28"/>
      <c r="G80" s="18"/>
      <c r="H80" s="18"/>
      <c r="I80" s="28"/>
      <c r="J80" s="28"/>
      <c r="K80" s="28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</row>
    <row r="81" spans="1:50">
      <c r="A81" s="28"/>
      <c r="B81" s="28"/>
      <c r="C81" s="31"/>
      <c r="D81" s="28"/>
      <c r="E81" s="28"/>
      <c r="F81" s="28"/>
      <c r="G81" s="18"/>
      <c r="H81" s="18"/>
      <c r="I81" s="28"/>
      <c r="J81" s="28"/>
      <c r="K81" s="28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</row>
    <row r="82" spans="1:50">
      <c r="A82" s="28"/>
      <c r="B82" s="28"/>
      <c r="C82" s="31"/>
      <c r="D82" s="28"/>
      <c r="E82" s="28"/>
      <c r="F82" s="28"/>
      <c r="G82" s="18"/>
      <c r="H82" s="18"/>
      <c r="I82" s="28"/>
      <c r="J82" s="28"/>
      <c r="K82" s="28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</row>
    <row r="83" spans="1:50">
      <c r="A83" s="28"/>
      <c r="B83" s="28"/>
      <c r="C83" s="31"/>
      <c r="D83" s="28"/>
      <c r="E83" s="28"/>
      <c r="F83" s="28"/>
      <c r="G83" s="18"/>
      <c r="H83" s="18"/>
      <c r="I83" s="28"/>
      <c r="J83" s="28"/>
      <c r="K83" s="28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</row>
    <row r="84" spans="1:50">
      <c r="A84" s="28"/>
      <c r="B84" s="28"/>
      <c r="C84" s="31"/>
      <c r="D84" s="28"/>
      <c r="E84" s="28"/>
      <c r="F84" s="28"/>
      <c r="G84" s="18"/>
      <c r="H84" s="18"/>
      <c r="I84" s="28"/>
      <c r="J84" s="28"/>
      <c r="K84" s="28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</row>
    <row r="85" spans="1:50">
      <c r="A85" s="28"/>
      <c r="B85" s="28"/>
      <c r="C85" s="31"/>
      <c r="D85" s="28"/>
      <c r="E85" s="28"/>
      <c r="F85" s="28"/>
      <c r="G85" s="18"/>
      <c r="H85" s="18"/>
      <c r="I85" s="28"/>
      <c r="J85" s="28"/>
      <c r="K85" s="28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</row>
    <row r="86" spans="1:50">
      <c r="A86" s="28"/>
      <c r="B86" s="28"/>
      <c r="C86" s="31"/>
      <c r="D86" s="28"/>
      <c r="E86" s="28"/>
      <c r="F86" s="28"/>
      <c r="G86" s="18"/>
      <c r="H86" s="18"/>
      <c r="I86" s="28"/>
      <c r="J86" s="28"/>
      <c r="K86" s="28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</row>
    <row r="87" spans="1:50">
      <c r="A87" s="28"/>
      <c r="B87" s="28"/>
      <c r="C87" s="31"/>
      <c r="D87" s="28"/>
      <c r="E87" s="28"/>
      <c r="F87" s="28"/>
      <c r="G87" s="18"/>
      <c r="H87" s="18"/>
      <c r="I87" s="28"/>
      <c r="J87" s="28"/>
      <c r="K87" s="28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</row>
    <row r="88" spans="1:50">
      <c r="A88" s="28"/>
      <c r="B88" s="28"/>
      <c r="C88" s="31"/>
      <c r="D88" s="28"/>
      <c r="E88" s="28"/>
      <c r="F88" s="28"/>
      <c r="G88" s="18"/>
      <c r="H88" s="18"/>
      <c r="I88" s="28"/>
      <c r="J88" s="28"/>
      <c r="K88" s="28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</row>
    <row r="89" spans="1:50">
      <c r="A89" s="28"/>
      <c r="B89" s="28"/>
      <c r="C89" s="31"/>
      <c r="D89" s="28"/>
      <c r="E89" s="28"/>
      <c r="F89" s="28"/>
      <c r="G89" s="18"/>
      <c r="H89" s="18"/>
      <c r="I89" s="28"/>
      <c r="J89" s="28"/>
      <c r="K89" s="28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</row>
    <row r="90" spans="1:50">
      <c r="A90" s="28"/>
      <c r="B90" s="28"/>
      <c r="C90" s="31"/>
      <c r="D90" s="28"/>
      <c r="E90" s="28"/>
      <c r="F90" s="28"/>
      <c r="G90" s="18"/>
      <c r="H90" s="18"/>
      <c r="I90" s="28"/>
      <c r="J90" s="28"/>
      <c r="K90" s="28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</row>
    <row r="91" spans="1:50">
      <c r="A91" s="28"/>
      <c r="B91" s="28"/>
      <c r="C91" s="31"/>
      <c r="D91" s="28"/>
      <c r="E91" s="28"/>
      <c r="F91" s="28"/>
      <c r="G91" s="18"/>
      <c r="H91" s="18"/>
      <c r="I91" s="28"/>
      <c r="J91" s="28"/>
      <c r="K91" s="28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</row>
    <row r="92" spans="1:50">
      <c r="A92" s="28"/>
      <c r="B92" s="28"/>
      <c r="C92" s="31"/>
      <c r="D92" s="28"/>
      <c r="E92" s="28"/>
      <c r="F92" s="28"/>
      <c r="G92" s="18"/>
      <c r="H92" s="18"/>
      <c r="I92" s="28"/>
      <c r="J92" s="28"/>
      <c r="K92" s="28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</row>
    <row r="93" spans="1:50">
      <c r="A93" s="28"/>
      <c r="B93" s="28"/>
      <c r="C93" s="31"/>
      <c r="D93" s="28"/>
      <c r="E93" s="28"/>
      <c r="F93" s="28"/>
      <c r="G93" s="18"/>
      <c r="H93" s="18"/>
      <c r="I93" s="28"/>
      <c r="J93" s="28"/>
      <c r="K93" s="28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</row>
    <row r="94" spans="1:50">
      <c r="A94" s="28"/>
      <c r="B94" s="28"/>
      <c r="C94" s="31"/>
      <c r="D94" s="28"/>
      <c r="E94" s="28"/>
      <c r="F94" s="28"/>
      <c r="G94" s="18"/>
      <c r="H94" s="18"/>
      <c r="I94" s="28"/>
      <c r="J94" s="28"/>
      <c r="K94" s="28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</row>
    <row r="95" spans="1:50">
      <c r="A95" s="28"/>
      <c r="B95" s="28"/>
      <c r="C95" s="31"/>
      <c r="D95" s="28"/>
      <c r="E95" s="28"/>
      <c r="F95" s="28"/>
      <c r="G95" s="18"/>
      <c r="H95" s="18"/>
      <c r="I95" s="28"/>
      <c r="J95" s="28"/>
      <c r="K95" s="28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</row>
    <row r="96" spans="1:50">
      <c r="A96" s="28"/>
      <c r="B96" s="28"/>
      <c r="C96" s="31"/>
      <c r="D96" s="28"/>
      <c r="E96" s="28"/>
      <c r="F96" s="28"/>
      <c r="G96" s="18"/>
      <c r="H96" s="18"/>
      <c r="I96" s="28"/>
      <c r="J96" s="28"/>
      <c r="K96" s="28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</row>
    <row r="97" spans="1:50">
      <c r="A97" s="28"/>
      <c r="B97" s="28"/>
      <c r="C97" s="31"/>
      <c r="D97" s="28"/>
      <c r="E97" s="28"/>
      <c r="F97" s="28"/>
      <c r="G97" s="18"/>
      <c r="H97" s="18"/>
      <c r="I97" s="28"/>
      <c r="J97" s="28"/>
      <c r="K97" s="28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</row>
    <row r="98" spans="1:50">
      <c r="A98" s="28"/>
      <c r="B98" s="28"/>
      <c r="C98" s="31"/>
      <c r="D98" s="28"/>
      <c r="E98" s="28"/>
      <c r="F98" s="28"/>
      <c r="G98" s="18"/>
      <c r="H98" s="18"/>
      <c r="I98" s="28"/>
      <c r="J98" s="28"/>
      <c r="K98" s="28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</row>
    <row r="99" spans="1:50">
      <c r="A99" s="28"/>
      <c r="B99" s="28"/>
      <c r="C99" s="31"/>
      <c r="D99" s="28"/>
      <c r="E99" s="28"/>
      <c r="F99" s="28"/>
      <c r="G99" s="18"/>
      <c r="H99" s="18"/>
      <c r="I99" s="28"/>
      <c r="J99" s="28"/>
      <c r="K99" s="28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</row>
    <row r="100" spans="1:50">
      <c r="A100" s="28"/>
      <c r="B100" s="28"/>
      <c r="C100" s="31"/>
      <c r="D100" s="28"/>
      <c r="E100" s="28"/>
      <c r="F100" s="28"/>
      <c r="G100" s="18"/>
      <c r="H100" s="18"/>
      <c r="I100" s="28"/>
      <c r="J100" s="28"/>
      <c r="K100" s="28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</row>
    <row r="101" spans="1:50">
      <c r="A101" s="28"/>
      <c r="B101" s="28"/>
      <c r="C101" s="31"/>
      <c r="D101" s="28"/>
      <c r="E101" s="28"/>
      <c r="F101" s="28"/>
      <c r="G101" s="18"/>
      <c r="H101" s="18"/>
      <c r="I101" s="28"/>
      <c r="J101" s="28"/>
      <c r="K101" s="28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</row>
    <row r="102" spans="1:50">
      <c r="A102" s="28"/>
      <c r="B102" s="28"/>
      <c r="C102" s="31"/>
      <c r="D102" s="28"/>
      <c r="E102" s="28"/>
      <c r="F102" s="28"/>
      <c r="G102" s="18"/>
      <c r="H102" s="18"/>
      <c r="I102" s="28"/>
      <c r="J102" s="28"/>
      <c r="K102" s="28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</row>
    <row r="103" spans="1:50">
      <c r="A103" s="28"/>
      <c r="B103" s="28"/>
      <c r="C103" s="31"/>
      <c r="D103" s="28"/>
      <c r="E103" s="28"/>
      <c r="F103" s="28"/>
      <c r="G103" s="18"/>
      <c r="H103" s="18"/>
      <c r="I103" s="28"/>
      <c r="J103" s="28"/>
      <c r="K103" s="28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</row>
    <row r="104" spans="1:50">
      <c r="A104" s="28"/>
      <c r="B104" s="28"/>
      <c r="C104" s="31"/>
      <c r="D104" s="28"/>
      <c r="E104" s="28"/>
      <c r="F104" s="28"/>
      <c r="G104" s="18"/>
      <c r="H104" s="18"/>
      <c r="I104" s="28"/>
      <c r="J104" s="28"/>
      <c r="K104" s="28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</row>
    <row r="105" spans="1:50">
      <c r="A105" s="28"/>
      <c r="B105" s="28"/>
      <c r="C105" s="31"/>
      <c r="D105" s="28"/>
      <c r="E105" s="28"/>
      <c r="F105" s="28"/>
      <c r="G105" s="18"/>
      <c r="H105" s="18"/>
      <c r="I105" s="28"/>
      <c r="J105" s="28"/>
      <c r="K105" s="28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</row>
    <row r="106" spans="1:50">
      <c r="A106" s="28"/>
      <c r="B106" s="28"/>
      <c r="C106" s="31"/>
      <c r="D106" s="28"/>
      <c r="E106" s="28"/>
      <c r="F106" s="28"/>
      <c r="G106" s="18"/>
      <c r="H106" s="18"/>
      <c r="I106" s="28"/>
      <c r="J106" s="28"/>
      <c r="K106" s="28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</row>
    <row r="107" spans="1:50">
      <c r="A107" s="28"/>
      <c r="B107" s="28"/>
      <c r="C107" s="31"/>
      <c r="D107" s="28"/>
      <c r="E107" s="28"/>
      <c r="F107" s="28"/>
      <c r="G107" s="18"/>
      <c r="H107" s="18"/>
      <c r="I107" s="28"/>
      <c r="J107" s="28"/>
      <c r="K107" s="28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</row>
    <row r="108" spans="1:50">
      <c r="A108" s="28"/>
      <c r="B108" s="28"/>
      <c r="C108" s="31"/>
      <c r="D108" s="28"/>
      <c r="E108" s="28"/>
      <c r="F108" s="28"/>
      <c r="G108" s="18"/>
      <c r="H108" s="18"/>
      <c r="I108" s="28"/>
      <c r="J108" s="28"/>
      <c r="K108" s="28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</row>
    <row r="109" spans="1:50">
      <c r="A109" s="28"/>
      <c r="B109" s="28"/>
      <c r="C109" s="31"/>
      <c r="D109" s="28"/>
      <c r="E109" s="28"/>
      <c r="F109" s="28"/>
      <c r="G109" s="18"/>
      <c r="H109" s="18"/>
      <c r="I109" s="28"/>
      <c r="J109" s="28"/>
      <c r="K109" s="28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</row>
    <row r="110" spans="1:50">
      <c r="A110" s="28"/>
      <c r="B110" s="28"/>
      <c r="C110" s="31"/>
      <c r="D110" s="28"/>
      <c r="E110" s="28"/>
      <c r="F110" s="28"/>
      <c r="G110" s="18"/>
      <c r="H110" s="18"/>
      <c r="I110" s="28"/>
      <c r="J110" s="28"/>
      <c r="K110" s="28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</row>
    <row r="111" spans="1:50">
      <c r="A111" s="28"/>
      <c r="B111" s="28"/>
      <c r="C111" s="31"/>
      <c r="D111" s="28"/>
      <c r="E111" s="28"/>
      <c r="F111" s="28"/>
      <c r="G111" s="18"/>
      <c r="H111" s="18"/>
      <c r="I111" s="28"/>
      <c r="J111" s="28"/>
      <c r="K111" s="28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</row>
    <row r="112" spans="1:50">
      <c r="A112" s="28"/>
      <c r="B112" s="28"/>
      <c r="C112" s="31"/>
      <c r="D112" s="28"/>
      <c r="E112" s="28"/>
      <c r="F112" s="28"/>
      <c r="G112" s="18"/>
      <c r="H112" s="18"/>
      <c r="I112" s="28"/>
      <c r="J112" s="28"/>
      <c r="K112" s="28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</row>
    <row r="113" spans="1:50">
      <c r="A113" s="28"/>
      <c r="B113" s="28"/>
      <c r="C113" s="31"/>
      <c r="D113" s="28"/>
      <c r="E113" s="28"/>
      <c r="F113" s="28"/>
      <c r="G113" s="18"/>
      <c r="H113" s="18"/>
      <c r="I113" s="28"/>
      <c r="J113" s="28"/>
      <c r="K113" s="28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</row>
    <row r="114" spans="1:50">
      <c r="A114" s="28"/>
      <c r="B114" s="28"/>
      <c r="C114" s="31"/>
      <c r="D114" s="28"/>
      <c r="E114" s="28"/>
      <c r="F114" s="28"/>
      <c r="G114" s="18"/>
      <c r="H114" s="18"/>
      <c r="I114" s="28"/>
      <c r="J114" s="28"/>
      <c r="K114" s="28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</row>
    <row r="115" spans="1:50">
      <c r="A115" s="28"/>
      <c r="B115" s="28"/>
      <c r="C115" s="31"/>
      <c r="D115" s="28"/>
      <c r="E115" s="28"/>
      <c r="F115" s="28"/>
      <c r="G115" s="18"/>
      <c r="H115" s="18"/>
      <c r="I115" s="28"/>
      <c r="J115" s="28"/>
      <c r="K115" s="28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</row>
    <row r="116" spans="1:50">
      <c r="A116" s="28"/>
      <c r="B116" s="28"/>
      <c r="C116" s="31"/>
      <c r="D116" s="28"/>
      <c r="E116" s="28"/>
      <c r="F116" s="28"/>
      <c r="G116" s="18"/>
      <c r="H116" s="18"/>
      <c r="I116" s="28"/>
      <c r="J116" s="28"/>
      <c r="K116" s="28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</row>
    <row r="117" spans="1:50">
      <c r="A117" s="28"/>
      <c r="B117" s="28"/>
      <c r="C117" s="31"/>
      <c r="D117" s="28"/>
      <c r="E117" s="28"/>
      <c r="F117" s="28"/>
      <c r="H117" s="18"/>
      <c r="I117" s="28"/>
      <c r="J117" s="28"/>
      <c r="K117" s="28"/>
      <c r="M117" s="32"/>
    </row>
    <row r="118" spans="1:50">
      <c r="A118" s="28"/>
      <c r="B118" s="28"/>
      <c r="C118" s="31"/>
      <c r="D118" s="28"/>
      <c r="E118" s="28"/>
      <c r="F118" s="28"/>
      <c r="H118" s="18"/>
      <c r="I118" s="28"/>
      <c r="J118" s="28"/>
      <c r="K118" s="28"/>
      <c r="M118" s="32"/>
    </row>
    <row r="119" spans="1:50">
      <c r="A119" s="28"/>
      <c r="B119" s="28"/>
      <c r="C119" s="31"/>
      <c r="D119" s="28"/>
      <c r="E119" s="28"/>
      <c r="F119" s="28"/>
      <c r="H119" s="18"/>
      <c r="I119" s="28"/>
      <c r="J119" s="28"/>
      <c r="K119" s="28"/>
      <c r="M119" s="32"/>
    </row>
    <row r="120" spans="1:50">
      <c r="A120" s="28"/>
      <c r="B120" s="28"/>
      <c r="C120" s="31"/>
      <c r="D120" s="28"/>
      <c r="E120" s="28"/>
      <c r="F120" s="28"/>
      <c r="H120" s="18"/>
      <c r="I120" s="28"/>
      <c r="J120" s="28"/>
      <c r="K120" s="28"/>
      <c r="M120" s="32"/>
    </row>
    <row r="121" spans="1:50">
      <c r="A121" s="28"/>
      <c r="B121" s="28"/>
      <c r="C121" s="31"/>
      <c r="D121" s="28"/>
      <c r="E121" s="28"/>
      <c r="F121" s="28"/>
      <c r="H121" s="18"/>
      <c r="I121" s="28"/>
      <c r="J121" s="28"/>
      <c r="K121" s="28"/>
      <c r="M121" s="32"/>
    </row>
    <row r="122" spans="1:50">
      <c r="A122" s="28"/>
      <c r="B122" s="28"/>
      <c r="C122" s="31"/>
      <c r="D122" s="28"/>
      <c r="E122" s="28"/>
      <c r="F122" s="28"/>
      <c r="H122" s="18"/>
      <c r="I122" s="28"/>
      <c r="J122" s="28"/>
      <c r="K122" s="28"/>
      <c r="M122" s="32"/>
    </row>
    <row r="123" spans="1:50">
      <c r="A123" s="28"/>
      <c r="B123" s="28"/>
      <c r="C123" s="31"/>
      <c r="D123" s="28"/>
      <c r="E123" s="28"/>
      <c r="F123" s="28"/>
      <c r="H123" s="18"/>
      <c r="I123" s="28"/>
      <c r="J123" s="28"/>
      <c r="K123" s="28"/>
      <c r="M123" s="32"/>
    </row>
    <row r="124" spans="1:50">
      <c r="A124" s="28"/>
      <c r="B124" s="28"/>
      <c r="C124" s="31"/>
      <c r="D124" s="28"/>
      <c r="E124" s="28"/>
      <c r="F124" s="28"/>
      <c r="H124" s="18"/>
      <c r="I124" s="28"/>
      <c r="J124" s="28"/>
      <c r="K124" s="28"/>
      <c r="M124" s="32"/>
    </row>
    <row r="125" spans="1:50">
      <c r="A125" s="28"/>
      <c r="B125" s="28"/>
      <c r="C125" s="31"/>
      <c r="D125" s="28"/>
      <c r="E125" s="28"/>
      <c r="F125" s="28"/>
      <c r="H125" s="18"/>
      <c r="I125" s="28"/>
      <c r="J125" s="28"/>
      <c r="K125" s="28"/>
      <c r="M125" s="32"/>
    </row>
    <row r="126" spans="1:50">
      <c r="A126" s="28"/>
      <c r="B126" s="28"/>
      <c r="C126" s="31"/>
      <c r="D126" s="28"/>
      <c r="E126" s="28"/>
      <c r="F126" s="28"/>
      <c r="H126" s="18"/>
      <c r="I126" s="28"/>
      <c r="J126" s="28"/>
      <c r="K126" s="28"/>
      <c r="M126" s="32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4"/>
  <sheetViews>
    <sheetView topLeftCell="B1" zoomScale="115" zoomScaleNormal="115" workbookViewId="0">
      <selection activeCell="D8" sqref="D8"/>
    </sheetView>
  </sheetViews>
  <sheetFormatPr defaultColWidth="9" defaultRowHeight="15"/>
  <cols>
    <col min="1" max="1" width="11.7109375" style="10" customWidth="1"/>
    <col min="2" max="3" width="10.42578125" style="10" customWidth="1"/>
    <col min="4" max="4" width="36" style="10" customWidth="1"/>
    <col min="5" max="5" width="47.85546875" style="10" customWidth="1"/>
    <col min="6" max="16384" width="9" style="10"/>
  </cols>
  <sheetData>
    <row r="1" spans="1:5" ht="15.75">
      <c r="A1" s="11"/>
      <c r="B1" s="11" t="s">
        <v>25</v>
      </c>
      <c r="C1" s="16" t="str">
        <f>+"https://tw-t24ap-ut.test:58480/IRISMB/api/v1.0.0/party/"&amp;規格!$C$1</f>
        <v>https://tw-t24ap-ut.test:58480/IRISMB/api/v1.0.0/party/IC0002</v>
      </c>
      <c r="D1" s="11"/>
      <c r="E1" s="12"/>
    </row>
    <row r="2" spans="1:5" ht="15.75">
      <c r="A2" s="12"/>
      <c r="B2" s="12" t="s">
        <v>26</v>
      </c>
      <c r="C2" s="16" t="str">
        <f>+"https://tw-t24ap-ut.test:58480/IRISMB/api/v1.0.0/party/I4"&amp;規格!$C$1</f>
        <v>https://tw-t24ap-ut.test:58480/IRISMB/api/v1.0.0/party/I4IC0002</v>
      </c>
      <c r="E2" s="12"/>
    </row>
    <row r="3" spans="1:5">
      <c r="A3" s="13"/>
      <c r="B3" s="37" t="s">
        <v>27</v>
      </c>
      <c r="C3" s="37" t="s">
        <v>28</v>
      </c>
      <c r="D3" s="37" t="s">
        <v>29</v>
      </c>
      <c r="E3" s="37" t="s">
        <v>30</v>
      </c>
    </row>
    <row r="4" spans="1:5" ht="409.5">
      <c r="A4" s="13"/>
      <c r="B4" s="38" t="s">
        <v>31</v>
      </c>
      <c r="C4" s="38" t="s">
        <v>192</v>
      </c>
      <c r="D4" s="39" t="s">
        <v>186</v>
      </c>
      <c r="E4" s="39" t="s">
        <v>193</v>
      </c>
    </row>
    <row r="5" spans="1:5" ht="409.5">
      <c r="A5" s="13"/>
      <c r="B5" s="38" t="s">
        <v>31</v>
      </c>
      <c r="C5" s="38" t="s">
        <v>194</v>
      </c>
      <c r="D5" s="39" t="s">
        <v>187</v>
      </c>
      <c r="E5" s="39" t="s">
        <v>195</v>
      </c>
    </row>
    <row r="6" spans="1:5" ht="409.5">
      <c r="B6" s="38" t="s">
        <v>203</v>
      </c>
      <c r="C6" s="38" t="s">
        <v>33</v>
      </c>
      <c r="D6" s="39" t="s">
        <v>189</v>
      </c>
      <c r="E6" s="39" t="s">
        <v>196</v>
      </c>
    </row>
    <row r="7" spans="1:5" ht="228.75">
      <c r="B7" s="38" t="s">
        <v>32</v>
      </c>
      <c r="C7" s="39" t="s">
        <v>197</v>
      </c>
      <c r="D7" s="39" t="s">
        <v>188</v>
      </c>
      <c r="E7" s="39" t="s">
        <v>198</v>
      </c>
    </row>
    <row r="8" spans="1:5" ht="409.5">
      <c r="B8" s="38" t="s">
        <v>32</v>
      </c>
      <c r="C8" s="39" t="s">
        <v>180</v>
      </c>
      <c r="D8" s="39" t="s">
        <v>190</v>
      </c>
      <c r="E8" s="39" t="s">
        <v>199</v>
      </c>
    </row>
    <row r="9" spans="1:5" ht="409.5">
      <c r="B9" s="38" t="s">
        <v>32</v>
      </c>
      <c r="C9" s="38" t="s">
        <v>34</v>
      </c>
      <c r="D9" s="39" t="s">
        <v>191</v>
      </c>
      <c r="E9" s="39" t="s">
        <v>200</v>
      </c>
    </row>
    <row r="10" spans="1:5" ht="228.75">
      <c r="B10" s="38" t="s">
        <v>32</v>
      </c>
      <c r="C10" s="39" t="s">
        <v>201</v>
      </c>
      <c r="D10" s="39" t="s">
        <v>191</v>
      </c>
      <c r="E10" s="39" t="s">
        <v>202</v>
      </c>
    </row>
    <row r="11" spans="1:5">
      <c r="B11" s="14"/>
      <c r="C11" s="14"/>
      <c r="D11" s="15"/>
      <c r="E11" s="15"/>
    </row>
    <row r="12" spans="1:5">
      <c r="B12" s="14"/>
      <c r="C12" s="14"/>
      <c r="D12" s="17"/>
      <c r="E12" s="15"/>
    </row>
    <row r="13" spans="1:5">
      <c r="B13" s="14"/>
      <c r="C13" s="14"/>
      <c r="D13" s="15"/>
      <c r="E13" s="15"/>
    </row>
    <row r="14" spans="1:5">
      <c r="B14" s="14"/>
      <c r="C14" s="14"/>
      <c r="D14" s="14"/>
      <c r="E14" s="14"/>
    </row>
  </sheetData>
  <phoneticPr fontId="5" type="noConversion"/>
  <hyperlinks>
    <hyperlink ref="C1" r:id="rId1" display="http://10.11.62.82:28080/IRIS/api/v1.0.0/party/EL0099" xr:uid="{00000000-0004-0000-0200-000000000000}"/>
    <hyperlink ref="C2" r:id="rId2" display="http://10.11.62.82:28080/IRIS/api/v1.0.0/party/EL0099" xr:uid="{00000000-0004-0000-0200-000001000000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9A58-2BD9-495F-8C18-11EA9772DC9A}">
  <dimension ref="B1:E38"/>
  <sheetViews>
    <sheetView workbookViewId="0">
      <selection activeCell="E37" sqref="E37"/>
    </sheetView>
  </sheetViews>
  <sheetFormatPr defaultColWidth="10.28515625" defaultRowHeight="15"/>
  <cols>
    <col min="1" max="1" width="3.28515625" style="43" customWidth="1"/>
    <col min="2" max="2" width="3.5703125" style="43" customWidth="1"/>
    <col min="3" max="3" width="28.140625" style="43" customWidth="1"/>
    <col min="4" max="4" width="3.7109375" style="43" customWidth="1"/>
    <col min="5" max="5" width="32.5703125" style="43" customWidth="1"/>
    <col min="6" max="16384" width="10.28515625" style="43"/>
  </cols>
  <sheetData>
    <row r="1" spans="2:5" ht="15.75" thickBot="1">
      <c r="B1" s="50"/>
      <c r="C1" s="49" t="s">
        <v>247</v>
      </c>
      <c r="E1" s="51" t="s">
        <v>228</v>
      </c>
    </row>
    <row r="2" spans="2:5">
      <c r="C2" s="44" t="s">
        <v>248</v>
      </c>
      <c r="E2" s="45" t="s">
        <v>229</v>
      </c>
    </row>
    <row r="3" spans="2:5">
      <c r="C3" s="45" t="s">
        <v>249</v>
      </c>
      <c r="E3" s="45" t="s">
        <v>230</v>
      </c>
    </row>
    <row r="4" spans="2:5">
      <c r="C4" s="45" t="s">
        <v>250</v>
      </c>
      <c r="E4" s="45" t="s">
        <v>231</v>
      </c>
    </row>
    <row r="5" spans="2:5">
      <c r="C5" s="45" t="s">
        <v>251</v>
      </c>
      <c r="E5" s="45" t="s">
        <v>232</v>
      </c>
    </row>
    <row r="6" spans="2:5">
      <c r="C6" s="45" t="s">
        <v>252</v>
      </c>
      <c r="E6" s="45" t="s">
        <v>233</v>
      </c>
    </row>
    <row r="7" spans="2:5">
      <c r="C7" s="45" t="s">
        <v>253</v>
      </c>
      <c r="E7" s="45" t="s">
        <v>234</v>
      </c>
    </row>
    <row r="8" spans="2:5">
      <c r="C8" s="45" t="s">
        <v>254</v>
      </c>
      <c r="E8" s="45" t="s">
        <v>235</v>
      </c>
    </row>
    <row r="9" spans="2:5">
      <c r="C9" s="45" t="s">
        <v>255</v>
      </c>
      <c r="E9" s="45" t="s">
        <v>236</v>
      </c>
    </row>
    <row r="10" spans="2:5">
      <c r="C10" s="45" t="s">
        <v>256</v>
      </c>
      <c r="E10" s="46" t="s">
        <v>237</v>
      </c>
    </row>
    <row r="11" spans="2:5">
      <c r="C11" s="45" t="s">
        <v>257</v>
      </c>
      <c r="E11" s="45" t="s">
        <v>238</v>
      </c>
    </row>
    <row r="12" spans="2:5">
      <c r="C12" s="45" t="s">
        <v>258</v>
      </c>
      <c r="E12" s="45" t="s">
        <v>239</v>
      </c>
    </row>
    <row r="13" spans="2:5">
      <c r="C13" s="45" t="s">
        <v>259</v>
      </c>
      <c r="E13" s="45" t="s">
        <v>240</v>
      </c>
    </row>
    <row r="14" spans="2:5">
      <c r="C14" s="45" t="s">
        <v>260</v>
      </c>
      <c r="E14" s="45" t="s">
        <v>241</v>
      </c>
    </row>
    <row r="15" spans="2:5">
      <c r="C15" s="45" t="s">
        <v>261</v>
      </c>
      <c r="E15" s="45" t="s">
        <v>242</v>
      </c>
    </row>
    <row r="16" spans="2:5">
      <c r="C16" s="45" t="s">
        <v>262</v>
      </c>
      <c r="E16" s="45" t="s">
        <v>243</v>
      </c>
    </row>
    <row r="17" spans="2:5">
      <c r="C17" s="45" t="s">
        <v>263</v>
      </c>
      <c r="E17" s="45" t="s">
        <v>244</v>
      </c>
    </row>
    <row r="18" spans="2:5">
      <c r="C18" s="45" t="s">
        <v>264</v>
      </c>
      <c r="E18" s="45" t="s">
        <v>245</v>
      </c>
    </row>
    <row r="19" spans="2:5">
      <c r="C19" s="45" t="s">
        <v>265</v>
      </c>
      <c r="E19" s="45" t="s">
        <v>246</v>
      </c>
    </row>
    <row r="20" spans="2:5" ht="15.75" thickBot="1">
      <c r="C20" s="45" t="s">
        <v>266</v>
      </c>
      <c r="E20" s="47"/>
    </row>
    <row r="21" spans="2:5">
      <c r="C21" s="45" t="s">
        <v>267</v>
      </c>
    </row>
    <row r="22" spans="2:5">
      <c r="C22" s="45" t="s">
        <v>268</v>
      </c>
    </row>
    <row r="23" spans="2:5">
      <c r="C23" s="45" t="s">
        <v>269</v>
      </c>
    </row>
    <row r="24" spans="2:5">
      <c r="C24" s="45" t="s">
        <v>270</v>
      </c>
    </row>
    <row r="25" spans="2:5">
      <c r="C25" s="45" t="s">
        <v>271</v>
      </c>
    </row>
    <row r="26" spans="2:5">
      <c r="C26" s="45" t="s">
        <v>272</v>
      </c>
    </row>
    <row r="27" spans="2:5">
      <c r="B27" s="48"/>
      <c r="C27" s="45" t="s">
        <v>273</v>
      </c>
    </row>
    <row r="28" spans="2:5">
      <c r="C28" s="45" t="s">
        <v>274</v>
      </c>
    </row>
    <row r="29" spans="2:5">
      <c r="C29" s="45" t="s">
        <v>275</v>
      </c>
    </row>
    <row r="30" spans="2:5">
      <c r="C30" s="45" t="s">
        <v>276</v>
      </c>
    </row>
    <row r="31" spans="2:5">
      <c r="C31" s="45" t="s">
        <v>277</v>
      </c>
    </row>
    <row r="32" spans="2:5">
      <c r="C32" s="45" t="s">
        <v>278</v>
      </c>
    </row>
    <row r="33" spans="3:3">
      <c r="C33" s="45" t="s">
        <v>279</v>
      </c>
    </row>
    <row r="34" spans="3:3">
      <c r="C34" s="45" t="s">
        <v>280</v>
      </c>
    </row>
    <row r="35" spans="3:3">
      <c r="C35" s="45" t="s">
        <v>281</v>
      </c>
    </row>
    <row r="36" spans="3:3">
      <c r="C36" s="45" t="s">
        <v>282</v>
      </c>
    </row>
    <row r="37" spans="3:3">
      <c r="C37" s="45" t="s">
        <v>283</v>
      </c>
    </row>
    <row r="38" spans="3:3" ht="15.75" thickBot="1">
      <c r="C38" s="47" t="s">
        <v>284</v>
      </c>
    </row>
  </sheetData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2F304F-844E-406F-9CB6-EE26F3098920}"/>
</file>

<file path=customXml/itemProps2.xml><?xml version="1.0" encoding="utf-8"?>
<ds:datastoreItem xmlns:ds="http://schemas.openxmlformats.org/officeDocument/2006/customXml" ds:itemID="{9912C0E4-42E9-489F-B9A2-3C9DF0F7DB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71D8E5-68ED-4B84-AAE6-DD37BFC48586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ab2e9cef-f5ae-4fca-a593-546d369e6708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修改歷程</vt:lpstr>
      <vt:lpstr>規格</vt:lpstr>
      <vt:lpstr>JSON Request-Response </vt:lpstr>
      <vt:lpstr>職稱&amp;子職業下拉選項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張少萍-核心應用部-永豐銀行</dc:creator>
  <cp:keywords/>
  <dc:description/>
  <cp:lastModifiedBy>Alex Chen 陳毅帆-Core Banking Technology Department-Bank </cp:lastModifiedBy>
  <dcterms:created xsi:type="dcterms:W3CDTF">2020-03-13T10:54:50Z</dcterms:created>
  <dcterms:modified xsi:type="dcterms:W3CDTF">2025-04-02T06:43:52Z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