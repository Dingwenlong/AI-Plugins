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://onedrive.sph/T24MOSS/Shared Documents/T24核心/IRIS/存款/"/>
    </mc:Choice>
  </mc:AlternateContent>
  <xr:revisionPtr revIDLastSave="0" documentId="13_ncr:1_{BDECAC85-5089-47AC-9A4E-410962E09FAB}" xr6:coauthVersionLast="36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Document History" sheetId="1" r:id="rId1"/>
    <sheet name="Spec" sheetId="2" r:id="rId2"/>
    <sheet name="JSON Request-Response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  <c r="C3" i="2"/>
  <c r="C2" i="3"/>
  <c r="C1" i="3"/>
</calcChain>
</file>

<file path=xl/sharedStrings.xml><?xml version="1.0" encoding="utf-8"?>
<sst xmlns="http://schemas.openxmlformats.org/spreadsheetml/2006/main" count="243" uniqueCount="189">
  <si>
    <t xml:space="preserve">Notice：
</t>
    <phoneticPr fontId="3" type="noConversion"/>
  </si>
  <si>
    <t>Document History</t>
    <phoneticPr fontId="3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</si>
  <si>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</si>
  <si>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</si>
  <si>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</si>
  <si>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</si>
  <si>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</si>
  <si>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</si>
  <si>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</si>
  <si>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翁崇閔</t>
    <phoneticPr fontId="3" type="noConversion"/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</si>
  <si>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</si>
  <si>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</si>
  <si>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t>ED0001</t>
  </si>
  <si>
    <t>Description</t>
    <phoneticPr fontId="3" type="noConversion"/>
  </si>
  <si>
    <r>
      <rPr>
        <sz val="11"/>
        <color theme="1"/>
        <rFont val="微軟正黑體"/>
        <family val="2"/>
        <charset val="136"/>
      </rPr>
      <t>線上銷戶查詢</t>
    </r>
    <phoneticPr fontId="3" type="noConversion"/>
  </si>
  <si>
    <t>URL</t>
  </si>
  <si>
    <t>Header</t>
    <phoneticPr fontId="3" type="noConversion"/>
  </si>
  <si>
    <t>page_size: 每頁筆數
page_start: 從第幾頁開始
page_token: 查詢回饋的ID，以unique id + ',' + page_size 組成，查詢相同條件切不同頁面時，可配合回傳page_token + page_start
companyId: 分行別
credentials: 帳號/密碼</t>
  </si>
  <si>
    <t>METHOD (GET/POST/PUT/DELETE)</t>
    <phoneticPr fontId="3" type="noConversion"/>
  </si>
  <si>
    <t>GET</t>
  </si>
  <si>
    <t>ENQ / TXN / AAA</t>
    <phoneticPr fontId="3" type="noConversion"/>
  </si>
  <si>
    <t>ENQ</t>
  </si>
  <si>
    <t>Original ENQUIRY ID</t>
    <phoneticPr fontId="3" type="noConversion"/>
  </si>
  <si>
    <t>TMB.AC.ENQ.ACCLOSE</t>
    <phoneticPr fontId="3" type="noConversion"/>
  </si>
  <si>
    <t>ENQUIRY ID</t>
    <phoneticPr fontId="3" type="noConversion"/>
  </si>
  <si>
    <t>SELECTION</t>
  </si>
  <si>
    <t>API_Vocabulary</t>
    <phoneticPr fontId="3" type="noConversion"/>
  </si>
  <si>
    <t>OPERAND</t>
  </si>
  <si>
    <r>
      <t>Mandatory (</t>
    </r>
    <r>
      <rPr>
        <b/>
        <sz val="11"/>
        <color theme="1"/>
        <rFont val="微軟正黑體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</si>
  <si>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t>ACCOUNT.NO</t>
  </si>
  <si>
    <t>EnqAccountNo</t>
  </si>
  <si>
    <t>EQ</t>
    <phoneticPr fontId="3" type="noConversion"/>
  </si>
  <si>
    <t>V</t>
    <phoneticPr fontId="3" type="noConversion"/>
  </si>
  <si>
    <t>CALC.STMP.TAX</t>
  </si>
  <si>
    <t>EnqCalcStmpTax</t>
  </si>
  <si>
    <t>EQ</t>
  </si>
  <si>
    <t>ENQ.ONLINE.CLOSE</t>
  </si>
  <si>
    <t>EnqOnlineClose</t>
  </si>
  <si>
    <t>No</t>
  </si>
  <si>
    <t>Field name</t>
  </si>
  <si>
    <t>API Vocabulary</t>
    <phoneticPr fontId="3" type="noConversion"/>
  </si>
  <si>
    <t>COMMENTS</t>
    <phoneticPr fontId="3" type="noConversion"/>
  </si>
  <si>
    <t>Single Multi</t>
  </si>
  <si>
    <t>Length</t>
  </si>
  <si>
    <t>Field Description</t>
    <phoneticPr fontId="3" type="noConversion"/>
  </si>
  <si>
    <r>
      <rPr>
        <sz val="11"/>
        <rFont val="微軟正黑體"/>
        <family val="2"/>
        <charset val="136"/>
      </rPr>
      <t>欄位名稱</t>
    </r>
    <phoneticPr fontId="3" type="noConversion"/>
  </si>
  <si>
    <r>
      <rPr>
        <sz val="11"/>
        <rFont val="微軟正黑體"/>
        <family val="2"/>
        <charset val="136"/>
      </rPr>
      <t>對應</t>
    </r>
    <r>
      <rPr>
        <sz val="11"/>
        <rFont val="Calibri"/>
        <family val="2"/>
      </rPr>
      <t>API Vocabulary</t>
    </r>
    <phoneticPr fontId="3" type="noConversion"/>
  </si>
  <si>
    <r>
      <rPr>
        <sz val="11"/>
        <rFont val="微軟正黑體"/>
        <family val="2"/>
        <charset val="136"/>
      </rPr>
      <t>分組</t>
    </r>
    <r>
      <rPr>
        <sz val="11"/>
        <rFont val="Calibri"/>
        <family val="2"/>
      </rPr>
      <t xml:space="preserve"> Group name</t>
    </r>
    <phoneticPr fontId="3" type="noConversion"/>
  </si>
  <si>
    <r>
      <t>Single(</t>
    </r>
    <r>
      <rPr>
        <sz val="11"/>
        <rFont val="微軟正黑體"/>
        <family val="2"/>
        <charset val="136"/>
      </rPr>
      <t>空白</t>
    </r>
    <r>
      <rPr>
        <sz val="11"/>
        <rFont val="Calibri"/>
        <family val="2"/>
      </rPr>
      <t>)</t>
    </r>
    <r>
      <rPr>
        <sz val="11"/>
        <rFont val="微軟正黑體"/>
        <family val="2"/>
        <charset val="136"/>
      </rPr>
      <t>，</t>
    </r>
    <r>
      <rPr>
        <sz val="11"/>
        <rFont val="Calibri"/>
        <family val="2"/>
      </rPr>
      <t>Multi(XX&lt;,XX-,XX&gt;)</t>
    </r>
    <phoneticPr fontId="3" type="noConversion"/>
  </si>
  <si>
    <r>
      <rPr>
        <sz val="11"/>
        <rFont val="微軟正黑體"/>
        <family val="2"/>
        <charset val="136"/>
      </rPr>
      <t>欄位長度</t>
    </r>
    <r>
      <rPr>
        <sz val="11"/>
        <rFont val="Calibri"/>
        <family val="2"/>
      </rPr>
      <t>+(</t>
    </r>
    <r>
      <rPr>
        <sz val="11"/>
        <rFont val="微軟正黑體"/>
        <family val="2"/>
        <charset val="136"/>
      </rPr>
      <t>靠左</t>
    </r>
    <r>
      <rPr>
        <sz val="11"/>
        <rFont val="Calibri"/>
        <family val="2"/>
      </rPr>
      <t>L,</t>
    </r>
    <r>
      <rPr>
        <sz val="11"/>
        <rFont val="微軟正黑體"/>
        <family val="2"/>
        <charset val="136"/>
      </rPr>
      <t>靠右</t>
    </r>
    <r>
      <rPr>
        <sz val="11"/>
        <rFont val="Calibri"/>
        <family val="2"/>
      </rPr>
      <t>R)</t>
    </r>
    <phoneticPr fontId="3" type="noConversion"/>
  </si>
  <si>
    <r>
      <rPr>
        <sz val="11"/>
        <rFont val="微軟正黑體"/>
        <family val="2"/>
        <charset val="136"/>
      </rPr>
      <t>欄位說明</t>
    </r>
    <r>
      <rPr>
        <sz val="11"/>
        <rFont val="Calibri"/>
        <family val="2"/>
      </rPr>
      <t>(</t>
    </r>
    <r>
      <rPr>
        <sz val="11"/>
        <rFont val="微軟正黑體"/>
        <family val="2"/>
        <charset val="136"/>
      </rPr>
      <t>中文</t>
    </r>
    <r>
      <rPr>
        <sz val="11"/>
        <rFont val="Calibri"/>
        <family val="2"/>
      </rPr>
      <t>)</t>
    </r>
    <phoneticPr fontId="3" type="noConversion"/>
  </si>
  <si>
    <r>
      <rPr>
        <sz val="11"/>
        <rFont val="微軟正黑體"/>
        <family val="2"/>
        <charset val="136"/>
      </rPr>
      <t>欄位說明</t>
    </r>
    <r>
      <rPr>
        <sz val="11"/>
        <rFont val="Calibri"/>
        <family val="2"/>
      </rPr>
      <t>(</t>
    </r>
    <r>
      <rPr>
        <sz val="11"/>
        <rFont val="微軟正黑體"/>
        <family val="2"/>
        <charset val="136"/>
      </rPr>
      <t>英文</t>
    </r>
    <r>
      <rPr>
        <sz val="11"/>
        <rFont val="Calibri"/>
        <family val="2"/>
      </rPr>
      <t>)</t>
    </r>
    <phoneticPr fontId="3" type="noConversion"/>
  </si>
  <si>
    <t>14R</t>
    <phoneticPr fontId="3" type="noConversion"/>
  </si>
  <si>
    <r>
      <rPr>
        <sz val="11"/>
        <color theme="1"/>
        <rFont val="微軟正黑體"/>
        <family val="2"/>
        <charset val="136"/>
      </rPr>
      <t>帳號</t>
    </r>
    <phoneticPr fontId="3" type="noConversion"/>
  </si>
  <si>
    <t>Account no</t>
    <phoneticPr fontId="3" type="noConversion"/>
  </si>
  <si>
    <t>ACC.NAME</t>
  </si>
  <si>
    <t>EnqAccName</t>
  </si>
  <si>
    <t>35L</t>
    <phoneticPr fontId="3" type="noConversion"/>
  </si>
  <si>
    <r>
      <rPr>
        <sz val="11"/>
        <color theme="1"/>
        <rFont val="微軟正黑體"/>
        <family val="2"/>
        <charset val="136"/>
      </rPr>
      <t>戶名</t>
    </r>
    <phoneticPr fontId="3" type="noConversion"/>
  </si>
  <si>
    <t>Customer name</t>
    <phoneticPr fontId="3" type="noConversion"/>
  </si>
  <si>
    <t>ACC.CURRENCY</t>
  </si>
  <si>
    <t>EnqAccCurrency</t>
  </si>
  <si>
    <t>3L</t>
    <phoneticPr fontId="3" type="noConversion"/>
  </si>
  <si>
    <r>
      <rPr>
        <sz val="11"/>
        <color theme="1"/>
        <rFont val="微軟正黑體"/>
        <family val="2"/>
        <charset val="136"/>
      </rPr>
      <t>幣別</t>
    </r>
    <phoneticPr fontId="3" type="noConversion"/>
  </si>
  <si>
    <t>Currency</t>
    <phoneticPr fontId="3" type="noConversion"/>
  </si>
  <si>
    <t>ACC.CONDITION.GR</t>
  </si>
  <si>
    <t>EnqAccConditionGr</t>
  </si>
  <si>
    <t>6L</t>
    <phoneticPr fontId="3" type="noConversion"/>
  </si>
  <si>
    <r>
      <rPr>
        <sz val="11"/>
        <color theme="1"/>
        <rFont val="微軟正黑體"/>
        <family val="2"/>
        <charset val="136"/>
      </rPr>
      <t>帳號所屬群組</t>
    </r>
    <phoneticPr fontId="3" type="noConversion"/>
  </si>
  <si>
    <t>ACCOUNT GROUP</t>
    <phoneticPr fontId="3" type="noConversion"/>
  </si>
  <si>
    <t>ACC.WORK.BAL</t>
  </si>
  <si>
    <t>EnqAccWorkBal</t>
  </si>
  <si>
    <t>19R</t>
    <phoneticPr fontId="3" type="noConversion"/>
  </si>
  <si>
    <r>
      <rPr>
        <sz val="11"/>
        <color theme="1"/>
        <rFont val="微軟正黑體"/>
        <family val="2"/>
        <charset val="136"/>
      </rPr>
      <t>帳戶餘額</t>
    </r>
    <phoneticPr fontId="3" type="noConversion"/>
  </si>
  <si>
    <t>Account Balance</t>
    <phoneticPr fontId="3" type="noConversion"/>
  </si>
  <si>
    <t>CURR.MID.RATE</t>
  </si>
  <si>
    <t>EnqCurrMidRate</t>
  </si>
  <si>
    <t>16R</t>
    <phoneticPr fontId="3" type="noConversion"/>
  </si>
  <si>
    <r>
      <rPr>
        <sz val="11"/>
        <color theme="1"/>
        <rFont val="微軟正黑體"/>
        <family val="2"/>
        <charset val="136"/>
      </rPr>
      <t>匯率</t>
    </r>
    <phoneticPr fontId="3" type="noConversion"/>
  </si>
  <si>
    <t>Exchange rate</t>
    <phoneticPr fontId="3" type="noConversion"/>
  </si>
  <si>
    <t>ACCRUED.INT.CR.FCY</t>
  </si>
  <si>
    <t>EnqAccruedIntCrFcy</t>
  </si>
  <si>
    <r>
      <rPr>
        <sz val="11"/>
        <color theme="1"/>
        <rFont val="微軟正黑體"/>
        <family val="2"/>
        <charset val="136"/>
      </rPr>
      <t>未付利息</t>
    </r>
    <r>
      <rPr>
        <sz val="11"/>
        <color theme="1"/>
        <rFont val="Calibri"/>
        <family val="2"/>
      </rPr>
      <t>_</t>
    </r>
    <r>
      <rPr>
        <sz val="11"/>
        <color theme="1"/>
        <rFont val="微軟正黑體"/>
        <family val="2"/>
        <charset val="136"/>
      </rPr>
      <t>貸</t>
    </r>
    <r>
      <rPr>
        <sz val="11"/>
        <color theme="1"/>
        <rFont val="Calibri"/>
        <family val="2"/>
      </rPr>
      <t>_</t>
    </r>
    <r>
      <rPr>
        <sz val="11"/>
        <color theme="1"/>
        <rFont val="微軟正黑體"/>
        <family val="2"/>
        <charset val="136"/>
      </rPr>
      <t>原幣</t>
    </r>
    <phoneticPr fontId="21" type="noConversion"/>
  </si>
  <si>
    <t>unpaid interest-CREDIT Original Currency</t>
    <phoneticPr fontId="3" type="noConversion"/>
  </si>
  <si>
    <t>ACCRUED.INT.CR.LCY</t>
  </si>
  <si>
    <t>EnqAccruedIntCrLcy</t>
  </si>
  <si>
    <r>
      <rPr>
        <sz val="11"/>
        <color theme="1"/>
        <rFont val="微軟正黑體"/>
        <family val="2"/>
        <charset val="136"/>
      </rPr>
      <t>未付利息</t>
    </r>
    <r>
      <rPr>
        <sz val="11"/>
        <color theme="1"/>
        <rFont val="Calibri"/>
        <family val="2"/>
      </rPr>
      <t>_</t>
    </r>
    <r>
      <rPr>
        <sz val="11"/>
        <color theme="1"/>
        <rFont val="微軟正黑體"/>
        <family val="2"/>
        <charset val="136"/>
      </rPr>
      <t>貸</t>
    </r>
    <r>
      <rPr>
        <sz val="11"/>
        <color theme="1"/>
        <rFont val="Calibri"/>
        <family val="2"/>
      </rPr>
      <t>_</t>
    </r>
    <r>
      <rPr>
        <sz val="11"/>
        <color theme="1"/>
        <rFont val="微軟正黑體"/>
        <family val="2"/>
        <charset val="136"/>
      </rPr>
      <t>台幣</t>
    </r>
    <phoneticPr fontId="21" type="noConversion"/>
  </si>
  <si>
    <t>unpaid interest-CREDIT Taiwanese Currency</t>
    <phoneticPr fontId="3" type="noConversion"/>
  </si>
  <si>
    <t>ACCRUED.INT.DR.FCY</t>
  </si>
  <si>
    <t>EnqAccruedIntDrFcy</t>
  </si>
  <si>
    <r>
      <rPr>
        <sz val="11"/>
        <color theme="1"/>
        <rFont val="微軟正黑體"/>
        <family val="2"/>
        <charset val="136"/>
      </rPr>
      <t>未收利息</t>
    </r>
    <r>
      <rPr>
        <sz val="11"/>
        <color theme="1"/>
        <rFont val="Calibri"/>
        <family val="2"/>
      </rPr>
      <t>_</t>
    </r>
    <r>
      <rPr>
        <sz val="11"/>
        <color theme="1"/>
        <rFont val="微軟正黑體"/>
        <family val="2"/>
        <charset val="136"/>
      </rPr>
      <t>借</t>
    </r>
    <r>
      <rPr>
        <sz val="11"/>
        <color theme="1"/>
        <rFont val="Calibri"/>
        <family val="2"/>
      </rPr>
      <t>_</t>
    </r>
    <r>
      <rPr>
        <sz val="11"/>
        <color theme="1"/>
        <rFont val="微軟正黑體"/>
        <family val="2"/>
        <charset val="136"/>
      </rPr>
      <t>原幣</t>
    </r>
    <phoneticPr fontId="21" type="noConversion"/>
  </si>
  <si>
    <t>unpaid interest-Debit Original Currency</t>
    <phoneticPr fontId="3" type="noConversion"/>
  </si>
  <si>
    <t>ACCRUED.INT.DR.LCY</t>
  </si>
  <si>
    <t>EnqAccruedIntDrLcy</t>
  </si>
  <si>
    <r>
      <rPr>
        <sz val="11"/>
        <color theme="1"/>
        <rFont val="微軟正黑體"/>
        <family val="2"/>
        <charset val="136"/>
      </rPr>
      <t>未收利息</t>
    </r>
    <r>
      <rPr>
        <sz val="11"/>
        <color theme="1"/>
        <rFont val="Calibri"/>
        <family val="2"/>
      </rPr>
      <t>_</t>
    </r>
    <r>
      <rPr>
        <sz val="11"/>
        <color theme="1"/>
        <rFont val="微軟正黑體"/>
        <family val="2"/>
        <charset val="136"/>
      </rPr>
      <t>借</t>
    </r>
    <r>
      <rPr>
        <sz val="11"/>
        <color theme="1"/>
        <rFont val="Calibri"/>
        <family val="2"/>
      </rPr>
      <t>_</t>
    </r>
    <r>
      <rPr>
        <sz val="11"/>
        <color theme="1"/>
        <rFont val="微軟正黑體"/>
        <family val="2"/>
        <charset val="136"/>
      </rPr>
      <t>台幣</t>
    </r>
    <phoneticPr fontId="21" type="noConversion"/>
  </si>
  <si>
    <t>unpaid interest-Debit TWD</t>
    <phoneticPr fontId="3" type="noConversion"/>
  </si>
  <si>
    <t>CR.TAX.CODE</t>
    <phoneticPr fontId="3" type="noConversion"/>
  </si>
  <si>
    <t>EnqCrTaxCode</t>
  </si>
  <si>
    <t>2R</t>
    <phoneticPr fontId="3" type="noConversion"/>
  </si>
  <si>
    <r>
      <rPr>
        <sz val="11"/>
        <color theme="1"/>
        <rFont val="微軟正黑體"/>
        <family val="2"/>
        <charset val="136"/>
      </rPr>
      <t>稅別代碼</t>
    </r>
    <phoneticPr fontId="21" type="noConversion"/>
  </si>
  <si>
    <t>Tax code</t>
    <phoneticPr fontId="3" type="noConversion"/>
  </si>
  <si>
    <t>TAX.FOR.CUST.FCY</t>
    <phoneticPr fontId="3" type="noConversion"/>
  </si>
  <si>
    <t>EnqTaxForCustFcy</t>
  </si>
  <si>
    <r>
      <rPr>
        <sz val="11"/>
        <color theme="1"/>
        <rFont val="微軟正黑體"/>
        <family val="2"/>
        <charset val="136"/>
      </rPr>
      <t>代扣利息所得稅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原幣</t>
    </r>
    <r>
      <rPr>
        <sz val="11"/>
        <color theme="1"/>
        <rFont val="Calibri"/>
        <family val="2"/>
      </rPr>
      <t>)</t>
    </r>
    <phoneticPr fontId="3" type="noConversion"/>
  </si>
  <si>
    <t>Tax on interest income withheld (Original Currency)</t>
    <phoneticPr fontId="3" type="noConversion"/>
  </si>
  <si>
    <t>TAX.FOR.CUST.LCY</t>
  </si>
  <si>
    <t>EnqTaxForCustLcy</t>
  </si>
  <si>
    <r>
      <rPr>
        <sz val="11"/>
        <color theme="1"/>
        <rFont val="微軟正黑體"/>
        <family val="2"/>
        <charset val="136"/>
      </rPr>
      <t>代扣利息所得稅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台幣</t>
    </r>
    <r>
      <rPr>
        <sz val="11"/>
        <color theme="1"/>
        <rFont val="Calibri"/>
        <family val="2"/>
      </rPr>
      <t>)</t>
    </r>
    <phoneticPr fontId="3" type="noConversion"/>
  </si>
  <si>
    <t>Tax on interest income withheld ( TWD)</t>
    <phoneticPr fontId="3" type="noConversion"/>
  </si>
  <si>
    <t>TOTAL.AMT.FCY</t>
    <phoneticPr fontId="3" type="noConversion"/>
  </si>
  <si>
    <t>EnqTotalAmtFcy</t>
  </si>
  <si>
    <r>
      <rPr>
        <sz val="11"/>
        <color theme="1"/>
        <rFont val="微軟正黑體"/>
        <family val="2"/>
        <charset val="136"/>
      </rPr>
      <t>銷戶金額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細明體"/>
        <family val="2"/>
        <charset val="136"/>
      </rPr>
      <t>原</t>
    </r>
    <r>
      <rPr>
        <sz val="11"/>
        <color theme="1"/>
        <rFont val="微軟正黑體"/>
        <family val="2"/>
        <charset val="136"/>
      </rPr>
      <t>幣</t>
    </r>
    <r>
      <rPr>
        <sz val="11"/>
        <color theme="1"/>
        <rFont val="Calibri"/>
        <family val="2"/>
      </rPr>
      <t>)</t>
    </r>
    <phoneticPr fontId="3" type="noConversion"/>
  </si>
  <si>
    <t>Closure Amount (FC)</t>
    <phoneticPr fontId="3" type="noConversion"/>
  </si>
  <si>
    <t>TOTAL.AMT.LCY</t>
  </si>
  <si>
    <t>EnqTotalAmtLcy</t>
  </si>
  <si>
    <r>
      <rPr>
        <sz val="11"/>
        <color theme="1"/>
        <rFont val="微軟正黑體"/>
        <family val="2"/>
        <charset val="136"/>
      </rPr>
      <t>銷戶金額</t>
    </r>
    <r>
      <rPr>
        <sz val="11"/>
        <color theme="1"/>
        <rFont val="Calibri"/>
        <family val="2"/>
      </rPr>
      <t xml:space="preserve">  (</t>
    </r>
    <r>
      <rPr>
        <sz val="11"/>
        <color theme="1"/>
        <rFont val="微軟正黑體"/>
        <family val="2"/>
        <charset val="136"/>
      </rPr>
      <t>台幣</t>
    </r>
    <r>
      <rPr>
        <sz val="11"/>
        <color theme="1"/>
        <rFont val="Calibri"/>
        <family val="2"/>
      </rPr>
      <t>)</t>
    </r>
    <phoneticPr fontId="3" type="noConversion"/>
  </si>
  <si>
    <t>Closure Amount (LC)</t>
    <phoneticPr fontId="3" type="noConversion"/>
  </si>
  <si>
    <t>TOT.INT.PAID</t>
  </si>
  <si>
    <t>EnqTotIntPaid</t>
  </si>
  <si>
    <t>20R</t>
    <phoneticPr fontId="3" type="noConversion"/>
  </si>
  <si>
    <r>
      <t>T24</t>
    </r>
    <r>
      <rPr>
        <sz val="11"/>
        <color theme="1"/>
        <rFont val="微軟正黑體"/>
        <family val="2"/>
        <charset val="136"/>
      </rPr>
      <t>上線前</t>
    </r>
    <r>
      <rPr>
        <sz val="11"/>
        <color theme="1"/>
        <rFont val="Calibri"/>
        <family val="2"/>
      </rPr>
      <t>,</t>
    </r>
    <r>
      <rPr>
        <sz val="11"/>
        <color theme="1"/>
        <rFont val="微軟正黑體"/>
        <family val="2"/>
        <charset val="136"/>
      </rPr>
      <t>舊系統已付利息</t>
    </r>
    <phoneticPr fontId="3" type="noConversion"/>
  </si>
  <si>
    <t>OLD CORE BANKING Interest Paid</t>
    <phoneticPr fontId="3" type="noConversion"/>
  </si>
  <si>
    <t>ORIG.INT.RATE</t>
    <phoneticPr fontId="3" type="noConversion"/>
  </si>
  <si>
    <t>EnqOrigIntRate</t>
  </si>
  <si>
    <r>
      <rPr>
        <sz val="11"/>
        <color theme="1"/>
        <rFont val="微軟正黑體"/>
        <family val="2"/>
        <charset val="136"/>
      </rPr>
      <t>原始開單利率</t>
    </r>
    <phoneticPr fontId="3" type="noConversion"/>
  </si>
  <si>
    <t>Original interest rate</t>
    <phoneticPr fontId="3" type="noConversion"/>
  </si>
  <si>
    <t>INT.RATE</t>
  </si>
  <si>
    <t>EnqIntRate</t>
  </si>
  <si>
    <r>
      <rPr>
        <sz val="11"/>
        <color theme="1"/>
        <rFont val="微軟正黑體"/>
        <family val="2"/>
        <charset val="136"/>
      </rPr>
      <t>利率</t>
    </r>
    <phoneticPr fontId="3" type="noConversion"/>
  </si>
  <si>
    <t>Interest rate</t>
    <phoneticPr fontId="3" type="noConversion"/>
  </si>
  <si>
    <t>MAT.DATE</t>
    <phoneticPr fontId="3" type="noConversion"/>
  </si>
  <si>
    <t>EnqMatDate</t>
  </si>
  <si>
    <t>8R</t>
    <phoneticPr fontId="3" type="noConversion"/>
  </si>
  <si>
    <r>
      <rPr>
        <sz val="11"/>
        <color theme="1"/>
        <rFont val="微軟正黑體"/>
        <family val="2"/>
        <charset val="136"/>
      </rPr>
      <t>到期日</t>
    </r>
    <phoneticPr fontId="3" type="noConversion"/>
  </si>
  <si>
    <t>Maturity date</t>
    <phoneticPr fontId="3" type="noConversion"/>
  </si>
  <si>
    <t>VAL.DATE</t>
  </si>
  <si>
    <t>EnqValDate</t>
  </si>
  <si>
    <r>
      <rPr>
        <sz val="11"/>
        <color theme="1"/>
        <rFont val="微軟正黑體"/>
        <family val="2"/>
        <charset val="136"/>
      </rPr>
      <t>生效日</t>
    </r>
    <phoneticPr fontId="3" type="noConversion"/>
  </si>
  <si>
    <t>Value date</t>
    <phoneticPr fontId="3" type="noConversion"/>
  </si>
  <si>
    <t>NOMINATED.ACC</t>
    <phoneticPr fontId="3" type="noConversion"/>
  </si>
  <si>
    <t>EnqNominatedAcc</t>
    <phoneticPr fontId="3" type="noConversion"/>
  </si>
  <si>
    <t>36L</t>
    <phoneticPr fontId="3" type="noConversion"/>
  </si>
  <si>
    <r>
      <rPr>
        <sz val="11"/>
        <color theme="1"/>
        <rFont val="微軟正黑體"/>
        <family val="2"/>
        <charset val="136"/>
      </rPr>
      <t>入戶帳號</t>
    </r>
    <phoneticPr fontId="3" type="noConversion"/>
  </si>
  <si>
    <t>Nominated Account</t>
    <phoneticPr fontId="3" type="noConversion"/>
  </si>
  <si>
    <t>INTEREST.KEY</t>
    <phoneticPr fontId="3" type="noConversion"/>
  </si>
  <si>
    <t>EnqInterestKey</t>
  </si>
  <si>
    <t>10L</t>
    <phoneticPr fontId="3" type="noConversion"/>
  </si>
  <si>
    <r>
      <rPr>
        <sz val="11"/>
        <color theme="1"/>
        <rFont val="微軟正黑體"/>
        <family val="2"/>
        <charset val="136"/>
      </rPr>
      <t>利率別</t>
    </r>
    <phoneticPr fontId="3" type="noConversion"/>
  </si>
  <si>
    <t>Interest Key</t>
    <phoneticPr fontId="3" type="noConversion"/>
  </si>
  <si>
    <t>ACC.AZ</t>
    <phoneticPr fontId="3" type="noConversion"/>
  </si>
  <si>
    <t>EnqAccAz</t>
  </si>
  <si>
    <t>16L</t>
    <phoneticPr fontId="3" type="noConversion"/>
  </si>
  <si>
    <t>產品代號</t>
    <phoneticPr fontId="3" type="noConversion"/>
  </si>
  <si>
    <t>Account Product Code</t>
    <phoneticPr fontId="3" type="noConversion"/>
  </si>
  <si>
    <t>TRANS.REF</t>
    <phoneticPr fontId="3" type="noConversion"/>
  </si>
  <si>
    <t>EnqTransRef</t>
  </si>
  <si>
    <t>14L</t>
    <phoneticPr fontId="3" type="noConversion"/>
  </si>
  <si>
    <r>
      <rPr>
        <sz val="11"/>
        <color theme="1"/>
        <rFont val="細明體"/>
        <family val="2"/>
        <charset val="136"/>
      </rPr>
      <t>交易參考編號</t>
    </r>
    <r>
      <rPr>
        <sz val="11"/>
        <color theme="1"/>
        <rFont val="Calibri"/>
        <family val="2"/>
      </rPr>
      <t xml:space="preserve"> (TELLER.DEFAULT&gt;@ID)</t>
    </r>
    <phoneticPr fontId="3" type="noConversion"/>
  </si>
  <si>
    <t>Transaction reference id</t>
    <phoneticPr fontId="3" type="noConversion"/>
  </si>
  <si>
    <t>STAMP.TAX</t>
    <phoneticPr fontId="3" type="noConversion"/>
  </si>
  <si>
    <t>EnqStampTax</t>
  </si>
  <si>
    <r>
      <rPr>
        <sz val="11"/>
        <color theme="1"/>
        <rFont val="微軟正黑體"/>
        <family val="2"/>
        <charset val="136"/>
      </rPr>
      <t>印花稅</t>
    </r>
    <phoneticPr fontId="3" type="noConversion"/>
  </si>
  <si>
    <t>Stamp Tax</t>
    <phoneticPr fontId="3" type="noConversion"/>
  </si>
  <si>
    <t>NHI.AMT</t>
  </si>
  <si>
    <t>EnqNhiAmt</t>
  </si>
  <si>
    <t>代扣健保補充保費</t>
    <phoneticPr fontId="3" type="noConversion"/>
  </si>
  <si>
    <t>Health insurance supplementary premiums</t>
    <phoneticPr fontId="3" type="noConversion"/>
  </si>
  <si>
    <t>T.STAMP.LCYAMT</t>
    <phoneticPr fontId="3" type="noConversion"/>
  </si>
  <si>
    <t>EnqTStampLcyamt</t>
  </si>
  <si>
    <r>
      <rPr>
        <sz val="11"/>
        <color theme="1"/>
        <rFont val="微軟正黑體"/>
        <family val="2"/>
        <charset val="136"/>
      </rPr>
      <t>印花稅臺幣金額</t>
    </r>
    <phoneticPr fontId="3" type="noConversion"/>
  </si>
  <si>
    <t>Stamp Tax amount (TWD)</t>
    <phoneticPr fontId="3" type="noConversion"/>
  </si>
  <si>
    <t>T.STAMP.FCYAMT</t>
  </si>
  <si>
    <t>EnqTStampFcyamt</t>
  </si>
  <si>
    <r>
      <rPr>
        <sz val="11"/>
        <color theme="1"/>
        <rFont val="微軟正黑體"/>
        <family val="2"/>
        <charset val="136"/>
      </rPr>
      <t>花稅外幣金額</t>
    </r>
    <phoneticPr fontId="3" type="noConversion"/>
  </si>
  <si>
    <t>Stamp Tax amount (foreign currency)</t>
    <phoneticPr fontId="3" type="noConversion"/>
  </si>
  <si>
    <t>ERROR.MSG</t>
    <phoneticPr fontId="3" type="noConversion"/>
  </si>
  <si>
    <t>EnqErrorMsg</t>
  </si>
  <si>
    <t>150L</t>
    <phoneticPr fontId="3" type="noConversion"/>
  </si>
  <si>
    <r>
      <rPr>
        <sz val="11"/>
        <color theme="1"/>
        <rFont val="微軟正黑體"/>
        <family val="2"/>
        <charset val="136"/>
      </rPr>
      <t>錯誤訊息</t>
    </r>
    <phoneticPr fontId="3" type="noConversion"/>
  </si>
  <si>
    <t>Error Message</t>
    <phoneticPr fontId="3" type="noConversion"/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</si>
  <si>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</si>
  <si>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</si>
  <si>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</si>
  <si>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</si>
  <si>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</si>
  <si>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Response json</t>
  </si>
  <si>
    <t>GET</t>
    <phoneticPr fontId="3" type="noConversion"/>
  </si>
  <si>
    <t>EnqAccountNo=00200801019248</t>
  </si>
  <si>
    <r>
      <t>{
  "header": {
    "audit": {
      "T24_time": 303,
      "parse_time": 0
    },
    "page_start": 1,
    "page_token": "0014640129.01,99",
    "total_size": 1,
    "page_size": 99,
    "status": "success"
  },
  "body": [
    {
      "EnqAccName":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2569442",
      "EnqTotIntPaid": "0",
      "EnqTotalAmtLcy": "1033",
      "EnqCurrMidRate": "28.1335",
      "EnqTotalAmtFcy": "36.72",
      "EnqAccConditionGr": "12",
      "EnqAccCurrency": "USD",
      "EnqAccWorkBal": "36.72",
      "EnqAccountNo": "00200801019248"
    }
  ]
}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</si>
</sst>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0"/>
      <color rgb="FF0000D4"/>
      <name val="細明體"/>
      <family val="2"/>
      <charset val="136"/>
    </font>
    <font>
      <sz val="11"/>
      <name val="微軟正黑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Calibri"/>
      <family val="2"/>
      <charset val="136"/>
    </font>
    <font>
      <sz val="9"/>
      <name val="新細明體"/>
      <family val="1"/>
      <charset val="136"/>
    </font>
    <font>
      <sz val="11"/>
      <name val="Roboto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0" fillId="0" borderId="6" xfId="0" applyFont="1" applyBorder="1" applyAlignment="1">
      <alignment wrapText="1"/>
    </xf>
    <xf numFmtId="0" fontId="11" fillId="6" borderId="6" xfId="1" applyFont="1" applyFill="1" applyBorder="1" applyAlignment="1">
      <alignment horizontal="left" vertical="top" wrapText="1"/>
    </xf>
    <xf numFmtId="0" fontId="12" fillId="6" borderId="6" xfId="0" applyFont="1" applyFill="1" applyBorder="1"/>
    <xf numFmtId="0" fontId="10" fillId="0" borderId="6" xfId="0" quotePrefix="1" applyFont="1" applyBorder="1"/>
    <xf numFmtId="0" fontId="13" fillId="0" borderId="6" xfId="1" applyFont="1" applyBorder="1" applyAlignment="1">
      <alignment horizontal="left" vertical="top" wrapText="1"/>
    </xf>
    <xf numFmtId="0" fontId="13" fillId="0" borderId="0" xfId="1" applyFont="1" applyAlignment="1">
      <alignment horizontal="left" vertical="top" wrapText="1"/>
    </xf>
    <xf numFmtId="0" fontId="13" fillId="0" borderId="0" xfId="1" applyFont="1" applyAlignment="1">
      <alignment horizontal="left" vertical="top"/>
    </xf>
    <xf numFmtId="0" fontId="11" fillId="4" borderId="6" xfId="0" applyFont="1" applyFill="1" applyBorder="1" applyAlignment="1">
      <alignment horizontal="left"/>
    </xf>
    <xf numFmtId="0" fontId="11" fillId="4" borderId="6" xfId="4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10" fillId="0" borderId="0" xfId="0" applyFont="1" applyAlignment="1">
      <alignment vertical="top"/>
    </xf>
    <xf numFmtId="0" fontId="12" fillId="5" borderId="8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0" fillId="0" borderId="10" xfId="0" applyFont="1" applyBorder="1" applyAlignment="1">
      <alignment vertical="top" wrapText="1"/>
    </xf>
    <xf numFmtId="0" fontId="13" fillId="0" borderId="6" xfId="5" applyFont="1" applyBorder="1" applyAlignment="1">
      <alignment horizontal="left" vertical="top" wrapText="1"/>
    </xf>
    <xf numFmtId="0" fontId="9" fillId="0" borderId="0" xfId="5"/>
    <xf numFmtId="0" fontId="17" fillId="0" borderId="5" xfId="0" applyFont="1" applyBorder="1" applyAlignment="1">
      <alignment horizontal="center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0" fontId="13" fillId="4" borderId="6" xfId="0" applyFont="1" applyFill="1" applyBorder="1" applyAlignment="1">
      <alignment horizontal="left"/>
    </xf>
    <xf numFmtId="0" fontId="20" fillId="0" borderId="0" xfId="0" applyFont="1"/>
    <xf numFmtId="0" fontId="2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B5" sqref="B5"/>
    </sheetView>
  </sheetViews>
  <sheetFormatPr defaultColWidth="9.140625" defaultRowHeight="15.7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40" t="s">
        <v>0</v>
      </c>
      <c r="B1" s="41"/>
      <c r="C1" s="41"/>
      <c r="D1" s="41"/>
      <c r="E1" s="41"/>
    </row>
    <row r="2" spans="1:5" ht="20.100000000000001" customHeight="1" thickBot="1">
      <c r="A2" s="39" t="s">
        <v>1</v>
      </c>
      <c r="B2" s="42"/>
      <c r="C2" s="42"/>
      <c r="D2" s="42"/>
      <c r="E2" s="43"/>
    </row>
    <row r="3" spans="1:5" ht="16.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6.5" thickBot="1">
      <c r="A4" s="3" t="s">
        <v>7</v>
      </c>
      <c r="B4" s="6">
        <v>44812</v>
      </c>
      <c r="C4" s="5" t="s">
        <v>8</v>
      </c>
      <c r="D4" s="33" t="s">
        <v>9</v>
      </c>
      <c r="E4" s="4" t="s">
        <v>10</v>
      </c>
    </row>
    <row r="5" spans="1:5" ht="16.5" thickBot="1">
      <c r="A5" s="3"/>
      <c r="B5" s="6"/>
      <c r="C5" s="5"/>
      <c r="D5" s="3"/>
      <c r="E5" s="4"/>
    </row>
    <row r="6" spans="1:5" ht="16.5" thickBot="1">
      <c r="A6" s="3"/>
      <c r="B6" s="6"/>
      <c r="C6" s="5"/>
      <c r="D6" s="3"/>
      <c r="E6" s="4"/>
    </row>
    <row r="7" spans="1:5" ht="16.5" thickBot="1">
      <c r="A7" s="3"/>
      <c r="B7" s="6"/>
      <c r="C7" s="5"/>
      <c r="D7" s="3"/>
      <c r="E7" s="4"/>
    </row>
    <row r="8" spans="1:5" ht="16.5" thickBot="1">
      <c r="A8" s="4"/>
      <c r="B8" s="7"/>
      <c r="C8" s="8"/>
      <c r="D8" s="4"/>
      <c r="E8" s="4"/>
    </row>
    <row r="9" spans="1:5" ht="16.5" thickBot="1">
      <c r="A9" s="4"/>
      <c r="B9" s="7"/>
      <c r="C9" s="8"/>
      <c r="D9" s="4"/>
      <c r="E9" s="4"/>
    </row>
    <row r="10" spans="1:5" ht="16.5" thickBot="1">
      <c r="A10" s="4"/>
      <c r="B10" s="7"/>
      <c r="C10" s="8"/>
      <c r="D10" s="4"/>
      <c r="E10" s="4"/>
    </row>
    <row r="11" spans="1:5" ht="16.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6.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6.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6.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6.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6.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6.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H47"/>
  <sheetViews>
    <sheetView zoomScale="90" zoomScaleNormal="90" workbookViewId="0" xr3:uid="{958C4451-9541-5A59-BF78-D2F731DF1C81}">
      <selection activeCell="C4" sqref="C4"/>
    </sheetView>
  </sheetViews>
  <sheetFormatPr defaultColWidth="8.85546875" defaultRowHeight="15"/>
  <cols>
    <col min="1" max="1" width="4.28515625" style="9" bestFit="1" customWidth="1"/>
    <col min="2" max="2" width="34.42578125" style="9" customWidth="1"/>
    <col min="3" max="3" width="72.85546875" style="12" bestFit="1" customWidth="1"/>
    <col min="4" max="4" width="18.5703125" style="12" bestFit="1" customWidth="1"/>
    <col min="5" max="5" width="34.140625" style="12" bestFit="1" customWidth="1"/>
    <col min="6" max="6" width="26.28515625" style="12" bestFit="1" customWidth="1"/>
    <col min="7" max="7" width="38.42578125" style="12" bestFit="1" customWidth="1"/>
    <col min="8" max="8" width="45.28515625" style="12" bestFit="1" customWidth="1"/>
    <col min="9" max="16384" width="8.85546875" style="12"/>
  </cols>
  <sheetData>
    <row r="1" spans="1:6">
      <c r="B1" s="10" t="s">
        <v>11</v>
      </c>
      <c r="C1" s="11" t="s">
        <v>12</v>
      </c>
    </row>
    <row r="2" spans="1:6">
      <c r="B2" s="10" t="s">
        <v>13</v>
      </c>
      <c r="C2" s="11" t="s">
        <v>14</v>
      </c>
    </row>
    <row r="3" spans="1:6">
      <c r="B3" s="10" t="s">
        <v>15</v>
      </c>
      <c r="C3" s="11" t="str">
        <f>+"/api/v1.0.0/party/"&amp;C1</f>
        <v>/api/v1.0.0/party/ED0001</v>
      </c>
    </row>
    <row r="4" spans="1:6" ht="90">
      <c r="B4" s="10" t="s">
        <v>16</v>
      </c>
      <c r="C4" s="13" t="s">
        <v>17</v>
      </c>
    </row>
    <row r="5" spans="1:6">
      <c r="B5" s="10" t="s">
        <v>18</v>
      </c>
      <c r="C5" s="11" t="s">
        <v>19</v>
      </c>
    </row>
    <row r="6" spans="1:6">
      <c r="B6" s="10" t="s">
        <v>20</v>
      </c>
      <c r="C6" s="11" t="s">
        <v>21</v>
      </c>
    </row>
    <row r="7" spans="1:6">
      <c r="B7" s="10" t="s">
        <v>22</v>
      </c>
      <c r="C7" s="11" t="s">
        <v>23</v>
      </c>
    </row>
    <row r="8" spans="1:6">
      <c r="B8" s="10" t="s">
        <v>24</v>
      </c>
      <c r="C8" s="11" t="str">
        <f>+"ENQ.API."&amp;$C$1&amp;".1.0.0"</f>
        <v>ENQ.API.ED0001.1.0.0</v>
      </c>
    </row>
    <row r="9" spans="1:6">
      <c r="B9" s="12"/>
    </row>
    <row r="10" spans="1:6">
      <c r="B10" s="12"/>
    </row>
    <row r="11" spans="1:6">
      <c r="B11" s="10" t="s">
        <v>25</v>
      </c>
      <c r="C11" s="14" t="s">
        <v>26</v>
      </c>
      <c r="D11" s="10" t="s">
        <v>27</v>
      </c>
      <c r="E11" s="15" t="s">
        <v>28</v>
      </c>
    </row>
    <row r="12" spans="1:6">
      <c r="B12" s="16" t="s">
        <v>29</v>
      </c>
      <c r="C12" s="17" t="s">
        <v>30</v>
      </c>
      <c r="D12" s="11" t="s">
        <v>31</v>
      </c>
      <c r="E12" s="11" t="s">
        <v>32</v>
      </c>
    </row>
    <row r="13" spans="1:6">
      <c r="B13" s="16" t="s">
        <v>33</v>
      </c>
      <c r="C13" s="17" t="s">
        <v>34</v>
      </c>
      <c r="D13" s="11" t="s">
        <v>35</v>
      </c>
      <c r="E13" s="11"/>
    </row>
    <row r="14" spans="1:6">
      <c r="B14" s="11" t="s">
        <v>36</v>
      </c>
      <c r="C14" s="17" t="s">
        <v>37</v>
      </c>
      <c r="D14" s="11" t="s">
        <v>35</v>
      </c>
      <c r="E14" s="11"/>
    </row>
    <row r="15" spans="1:6">
      <c r="B15" s="12"/>
      <c r="D15" s="18"/>
    </row>
    <row r="16" spans="1:6">
      <c r="A16" s="19"/>
      <c r="B16" s="18"/>
      <c r="C16" s="19"/>
      <c r="D16" s="18"/>
      <c r="E16" s="18"/>
      <c r="F16" s="18"/>
    </row>
    <row r="17" spans="1:8" s="22" customFormat="1">
      <c r="A17" s="20" t="s">
        <v>38</v>
      </c>
      <c r="B17" s="20" t="s">
        <v>39</v>
      </c>
      <c r="C17" s="20" t="s">
        <v>40</v>
      </c>
      <c r="D17" s="21" t="s">
        <v>41</v>
      </c>
      <c r="E17" s="20" t="s">
        <v>42</v>
      </c>
      <c r="F17" s="20" t="s">
        <v>43</v>
      </c>
      <c r="G17" s="20" t="s">
        <v>44</v>
      </c>
      <c r="H17" s="20" t="s">
        <v>44</v>
      </c>
    </row>
    <row r="18" spans="1:8" s="22" customFormat="1">
      <c r="A18" s="36"/>
      <c r="B18" s="36" t="s">
        <v>45</v>
      </c>
      <c r="C18" s="36" t="s">
        <v>46</v>
      </c>
      <c r="D18" s="36" t="s">
        <v>47</v>
      </c>
      <c r="E18" s="36" t="s">
        <v>48</v>
      </c>
      <c r="F18" s="36" t="s">
        <v>49</v>
      </c>
      <c r="G18" s="36" t="s">
        <v>50</v>
      </c>
      <c r="H18" s="36" t="s">
        <v>51</v>
      </c>
    </row>
    <row r="19" spans="1:8">
      <c r="A19" s="12">
        <v>1</v>
      </c>
      <c r="B19" s="35" t="s">
        <v>29</v>
      </c>
      <c r="C19" s="35" t="s">
        <v>30</v>
      </c>
      <c r="F19" s="12" t="s">
        <v>52</v>
      </c>
      <c r="G19" s="9" t="s">
        <v>53</v>
      </c>
      <c r="H19" s="9" t="s">
        <v>54</v>
      </c>
    </row>
    <row r="20" spans="1:8">
      <c r="A20" s="12">
        <v>2</v>
      </c>
      <c r="B20" s="35" t="s">
        <v>55</v>
      </c>
      <c r="C20" s="35" t="s">
        <v>56</v>
      </c>
      <c r="F20" s="12" t="s">
        <v>57</v>
      </c>
      <c r="G20" s="9" t="s">
        <v>58</v>
      </c>
      <c r="H20" s="9" t="s">
        <v>59</v>
      </c>
    </row>
    <row r="21" spans="1:8">
      <c r="A21" s="12">
        <v>3</v>
      </c>
      <c r="B21" s="35" t="s">
        <v>60</v>
      </c>
      <c r="C21" s="35" t="s">
        <v>61</v>
      </c>
      <c r="F21" s="12" t="s">
        <v>62</v>
      </c>
      <c r="G21" s="9" t="s">
        <v>63</v>
      </c>
      <c r="H21" s="9" t="s">
        <v>64</v>
      </c>
    </row>
    <row r="22" spans="1:8">
      <c r="A22" s="12">
        <v>4</v>
      </c>
      <c r="B22" s="35" t="s">
        <v>65</v>
      </c>
      <c r="C22" s="35" t="s">
        <v>66</v>
      </c>
      <c r="F22" s="12" t="s">
        <v>67</v>
      </c>
      <c r="G22" s="9" t="s">
        <v>68</v>
      </c>
      <c r="H22" s="9" t="s">
        <v>69</v>
      </c>
    </row>
    <row r="23" spans="1:8">
      <c r="A23" s="12">
        <v>5</v>
      </c>
      <c r="B23" s="35" t="s">
        <v>70</v>
      </c>
      <c r="C23" s="35" t="s">
        <v>71</v>
      </c>
      <c r="F23" s="12" t="s">
        <v>72</v>
      </c>
      <c r="G23" s="9" t="s">
        <v>73</v>
      </c>
      <c r="H23" s="9" t="s">
        <v>74</v>
      </c>
    </row>
    <row r="24" spans="1:8">
      <c r="A24" s="12">
        <v>6</v>
      </c>
      <c r="B24" s="35" t="s">
        <v>75</v>
      </c>
      <c r="C24" s="35" t="s">
        <v>76</v>
      </c>
      <c r="F24" s="12" t="s">
        <v>77</v>
      </c>
      <c r="G24" s="12" t="s">
        <v>78</v>
      </c>
      <c r="H24" s="9" t="s">
        <v>79</v>
      </c>
    </row>
    <row r="25" spans="1:8">
      <c r="A25" s="12">
        <v>7</v>
      </c>
      <c r="B25" s="35" t="s">
        <v>80</v>
      </c>
      <c r="C25" s="35" t="s">
        <v>81</v>
      </c>
      <c r="F25" s="12" t="s">
        <v>72</v>
      </c>
      <c r="G25" s="12" t="s">
        <v>82</v>
      </c>
      <c r="H25" s="38" t="s">
        <v>83</v>
      </c>
    </row>
    <row r="26" spans="1:8">
      <c r="A26" s="12">
        <v>8</v>
      </c>
      <c r="B26" s="35" t="s">
        <v>84</v>
      </c>
      <c r="C26" s="35" t="s">
        <v>85</v>
      </c>
      <c r="F26" s="12" t="s">
        <v>72</v>
      </c>
      <c r="G26" s="12" t="s">
        <v>86</v>
      </c>
      <c r="H26" s="38" t="s">
        <v>87</v>
      </c>
    </row>
    <row r="27" spans="1:8">
      <c r="A27" s="12">
        <v>9</v>
      </c>
      <c r="B27" s="35" t="s">
        <v>88</v>
      </c>
      <c r="C27" s="35" t="s">
        <v>89</v>
      </c>
      <c r="F27" s="12" t="s">
        <v>72</v>
      </c>
      <c r="G27" s="12" t="s">
        <v>90</v>
      </c>
      <c r="H27" s="38" t="s">
        <v>91</v>
      </c>
    </row>
    <row r="28" spans="1:8">
      <c r="A28" s="12">
        <v>10</v>
      </c>
      <c r="B28" s="35" t="s">
        <v>92</v>
      </c>
      <c r="C28" s="35" t="s">
        <v>93</v>
      </c>
      <c r="F28" s="12" t="s">
        <v>72</v>
      </c>
      <c r="G28" s="12" t="s">
        <v>94</v>
      </c>
      <c r="H28" s="38" t="s">
        <v>95</v>
      </c>
    </row>
    <row r="29" spans="1:8">
      <c r="A29" s="12">
        <v>11</v>
      </c>
      <c r="B29" s="35" t="s">
        <v>96</v>
      </c>
      <c r="C29" s="35" t="s">
        <v>97</v>
      </c>
      <c r="F29" s="12" t="s">
        <v>98</v>
      </c>
      <c r="G29" s="12" t="s">
        <v>99</v>
      </c>
      <c r="H29" s="12" t="s">
        <v>100</v>
      </c>
    </row>
    <row r="30" spans="1:8">
      <c r="A30" s="12">
        <v>12</v>
      </c>
      <c r="B30" s="35" t="s">
        <v>101</v>
      </c>
      <c r="C30" s="35" t="s">
        <v>102</v>
      </c>
      <c r="F30" s="12" t="s">
        <v>72</v>
      </c>
      <c r="G30" s="37" t="s">
        <v>103</v>
      </c>
      <c r="H30" s="12" t="s">
        <v>104</v>
      </c>
    </row>
    <row r="31" spans="1:8">
      <c r="A31" s="12">
        <v>13</v>
      </c>
      <c r="B31" s="35" t="s">
        <v>105</v>
      </c>
      <c r="C31" s="35" t="s">
        <v>106</v>
      </c>
      <c r="F31" s="12" t="s">
        <v>72</v>
      </c>
      <c r="G31" s="12" t="s">
        <v>107</v>
      </c>
      <c r="H31" s="12" t="s">
        <v>108</v>
      </c>
    </row>
    <row r="32" spans="1:8" ht="15.75">
      <c r="A32" s="12">
        <v>14</v>
      </c>
      <c r="B32" s="35" t="s">
        <v>109</v>
      </c>
      <c r="C32" s="35" t="s">
        <v>110</v>
      </c>
      <c r="F32" s="12" t="s">
        <v>72</v>
      </c>
      <c r="G32" s="37" t="s">
        <v>111</v>
      </c>
      <c r="H32" s="12" t="s">
        <v>112</v>
      </c>
    </row>
    <row r="33" spans="1:8">
      <c r="A33" s="12">
        <v>15</v>
      </c>
      <c r="B33" s="35" t="s">
        <v>113</v>
      </c>
      <c r="C33" s="35" t="s">
        <v>114</v>
      </c>
      <c r="F33" s="12" t="s">
        <v>72</v>
      </c>
      <c r="G33" s="12" t="s">
        <v>115</v>
      </c>
      <c r="H33" s="12" t="s">
        <v>116</v>
      </c>
    </row>
    <row r="34" spans="1:8">
      <c r="A34" s="12">
        <v>16</v>
      </c>
      <c r="B34" s="35" t="s">
        <v>117</v>
      </c>
      <c r="C34" s="35" t="s">
        <v>118</v>
      </c>
      <c r="F34" s="12" t="s">
        <v>119</v>
      </c>
      <c r="G34" s="12" t="s">
        <v>120</v>
      </c>
      <c r="H34" s="12" t="s">
        <v>121</v>
      </c>
    </row>
    <row r="35" spans="1:8">
      <c r="A35" s="12">
        <v>17</v>
      </c>
      <c r="B35" s="35" t="s">
        <v>122</v>
      </c>
      <c r="C35" s="35" t="s">
        <v>123</v>
      </c>
      <c r="F35" s="12" t="s">
        <v>77</v>
      </c>
      <c r="G35" s="12" t="s">
        <v>124</v>
      </c>
      <c r="H35" s="12" t="s">
        <v>125</v>
      </c>
    </row>
    <row r="36" spans="1:8">
      <c r="A36" s="12">
        <v>18</v>
      </c>
      <c r="B36" s="35" t="s">
        <v>126</v>
      </c>
      <c r="C36" s="35" t="s">
        <v>127</v>
      </c>
      <c r="F36" s="12" t="s">
        <v>77</v>
      </c>
      <c r="G36" s="12" t="s">
        <v>128</v>
      </c>
      <c r="H36" s="12" t="s">
        <v>129</v>
      </c>
    </row>
    <row r="37" spans="1:8">
      <c r="A37" s="12">
        <v>19</v>
      </c>
      <c r="B37" s="35" t="s">
        <v>130</v>
      </c>
      <c r="C37" s="35" t="s">
        <v>131</v>
      </c>
      <c r="F37" s="12" t="s">
        <v>132</v>
      </c>
      <c r="G37" s="12" t="s">
        <v>133</v>
      </c>
      <c r="H37" s="12" t="s">
        <v>134</v>
      </c>
    </row>
    <row r="38" spans="1:8" ht="14.45" customHeight="1">
      <c r="A38" s="12">
        <v>20</v>
      </c>
      <c r="B38" s="35" t="s">
        <v>135</v>
      </c>
      <c r="C38" s="35" t="s">
        <v>136</v>
      </c>
      <c r="F38" s="12" t="s">
        <v>132</v>
      </c>
      <c r="G38" s="12" t="s">
        <v>137</v>
      </c>
      <c r="H38" s="12" t="s">
        <v>138</v>
      </c>
    </row>
    <row r="39" spans="1:8">
      <c r="A39" s="12">
        <v>21</v>
      </c>
      <c r="B39" s="35" t="s">
        <v>139</v>
      </c>
      <c r="C39" s="35" t="s">
        <v>140</v>
      </c>
      <c r="F39" s="12" t="s">
        <v>141</v>
      </c>
      <c r="G39" s="12" t="s">
        <v>142</v>
      </c>
      <c r="H39" s="12" t="s">
        <v>143</v>
      </c>
    </row>
    <row r="40" spans="1:8">
      <c r="A40" s="12">
        <v>22</v>
      </c>
      <c r="B40" s="35" t="s">
        <v>144</v>
      </c>
      <c r="C40" s="35" t="s">
        <v>145</v>
      </c>
      <c r="F40" s="12" t="s">
        <v>146</v>
      </c>
      <c r="G40" s="12" t="s">
        <v>147</v>
      </c>
      <c r="H40" s="12" t="s">
        <v>148</v>
      </c>
    </row>
    <row r="41" spans="1:8">
      <c r="A41" s="12">
        <v>23</v>
      </c>
      <c r="B41" s="35" t="s">
        <v>149</v>
      </c>
      <c r="C41" s="35" t="s">
        <v>150</v>
      </c>
      <c r="F41" s="12" t="s">
        <v>151</v>
      </c>
      <c r="G41" s="34" t="s">
        <v>152</v>
      </c>
      <c r="H41" s="12" t="s">
        <v>153</v>
      </c>
    </row>
    <row r="42" spans="1:8" ht="15.75">
      <c r="A42" s="12">
        <v>24</v>
      </c>
      <c r="B42" s="35" t="s">
        <v>154</v>
      </c>
      <c r="C42" s="35" t="s">
        <v>155</v>
      </c>
      <c r="F42" s="12" t="s">
        <v>156</v>
      </c>
      <c r="G42" s="37" t="s">
        <v>157</v>
      </c>
      <c r="H42" s="12" t="s">
        <v>158</v>
      </c>
    </row>
    <row r="43" spans="1:8">
      <c r="A43" s="12">
        <v>25</v>
      </c>
      <c r="B43" s="35" t="s">
        <v>159</v>
      </c>
      <c r="C43" s="35" t="s">
        <v>160</v>
      </c>
      <c r="F43" s="12" t="s">
        <v>72</v>
      </c>
      <c r="G43" s="12" t="s">
        <v>161</v>
      </c>
      <c r="H43" s="12" t="s">
        <v>162</v>
      </c>
    </row>
    <row r="44" spans="1:8">
      <c r="A44" s="12">
        <v>26</v>
      </c>
      <c r="B44" s="35" t="s">
        <v>163</v>
      </c>
      <c r="C44" s="35" t="s">
        <v>164</v>
      </c>
      <c r="F44" s="12" t="s">
        <v>72</v>
      </c>
      <c r="G44" s="34" t="s">
        <v>165</v>
      </c>
      <c r="H44" s="12" t="s">
        <v>166</v>
      </c>
    </row>
    <row r="45" spans="1:8">
      <c r="A45" s="12">
        <v>27</v>
      </c>
      <c r="B45" s="35" t="s">
        <v>167</v>
      </c>
      <c r="C45" s="35" t="s">
        <v>168</v>
      </c>
      <c r="F45" s="12" t="s">
        <v>72</v>
      </c>
      <c r="G45" s="35" t="s">
        <v>169</v>
      </c>
      <c r="H45" s="35" t="s">
        <v>170</v>
      </c>
    </row>
    <row r="46" spans="1:8">
      <c r="A46" s="12">
        <v>28</v>
      </c>
      <c r="B46" s="35" t="s">
        <v>171</v>
      </c>
      <c r="C46" s="35" t="s">
        <v>172</v>
      </c>
      <c r="F46" s="12" t="s">
        <v>72</v>
      </c>
      <c r="G46" s="35" t="s">
        <v>173</v>
      </c>
      <c r="H46" s="35" t="s">
        <v>174</v>
      </c>
    </row>
    <row r="47" spans="1:8">
      <c r="A47" s="12">
        <v>29</v>
      </c>
      <c r="B47" s="35" t="s">
        <v>175</v>
      </c>
      <c r="C47" s="35" t="s">
        <v>176</v>
      </c>
      <c r="F47" s="12" t="s">
        <v>177</v>
      </c>
      <c r="G47" s="12" t="s">
        <v>178</v>
      </c>
      <c r="H47" s="12" t="s">
        <v>179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zoomScaleNormal="100" workbookViewId="0" xr3:uid="{842E5F09-E766-5B8D-85AF-A39847EA96FD}">
      <selection activeCell="D4" sqref="D4"/>
    </sheetView>
  </sheetViews>
  <sheetFormatPr defaultColWidth="8.85546875" defaultRowHeight="15.75"/>
  <cols>
    <col min="1" max="1" width="8" style="24" bestFit="1" customWidth="1"/>
    <col min="2" max="2" width="10.85546875" style="24" customWidth="1"/>
    <col min="3" max="3" width="10" style="24" bestFit="1" customWidth="1"/>
    <col min="4" max="4" width="39.5703125" style="24" bestFit="1" customWidth="1"/>
    <col min="5" max="5" width="67.7109375" style="24" customWidth="1"/>
    <col min="6" max="16384" width="8.85546875" style="24"/>
  </cols>
  <sheetData>
    <row r="1" spans="1:5">
      <c r="B1" s="23" t="s">
        <v>180</v>
      </c>
      <c r="C1" s="32" t="str">
        <f>+"http://10.11.62.82:28080/IRIS/api/v1.0.0/party/"&amp;Spec!$C$1</f>
        <v>http://10.11.62.82:28080/IRIS/api/v1.0.0/party/ED0001</v>
      </c>
      <c r="D1" s="23"/>
      <c r="E1" s="22"/>
    </row>
    <row r="2" spans="1:5">
      <c r="A2" s="22"/>
      <c r="B2" s="22" t="s">
        <v>181</v>
      </c>
      <c r="C2" s="32" t="str">
        <f>+"http://10.11.62.82:58080/IRIS/api/v1.0.0/party/"&amp;Spec!$C$1</f>
        <v>http://10.11.62.82:58080/IRIS/api/v1.0.0/party/ED0001</v>
      </c>
      <c r="D2" s="12"/>
      <c r="E2" s="22"/>
    </row>
    <row r="3" spans="1:5">
      <c r="A3" s="25"/>
      <c r="B3" s="26" t="s">
        <v>182</v>
      </c>
      <c r="C3" s="27" t="s">
        <v>183</v>
      </c>
      <c r="D3" s="27" t="s">
        <v>184</v>
      </c>
      <c r="E3" s="28" t="s">
        <v>185</v>
      </c>
    </row>
    <row r="4" spans="1:5" ht="408.4" customHeight="1">
      <c r="A4" s="25"/>
      <c r="B4" s="29" t="s">
        <v>186</v>
      </c>
      <c r="C4" s="29"/>
      <c r="D4" s="31" t="s">
        <v>187</v>
      </c>
      <c r="E4" s="30" t="s">
        <v>188</v>
      </c>
    </row>
    <row r="5" spans="1:5">
      <c r="B5" s="29"/>
      <c r="C5" s="29"/>
      <c r="D5" s="31"/>
      <c r="E5" s="30"/>
    </row>
  </sheetData>
  <phoneticPr fontId="3" type="noConversion"/>
  <hyperlinks>
    <hyperlink ref="C1" r:id="rId1" display="http://10.11.62.82:28080/IRIS/api/v1.0.0/party/EL0099" xr:uid="{47D04BCD-E4F9-437C-87DD-CC3EE236A36E}"/>
    <hyperlink ref="C2" r:id="rId2" display="http://10.11.62.82:28080/IRIS/api/v1.0.0/party/EL0099" xr:uid="{6A15342C-F2C0-4679-BA59-7D3F7E42FEEC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5334F2-BD2D-432B-9C99-C34C46175CD0}"/>
</file>

<file path=customXml/itemProps2.xml><?xml version="1.0" encoding="utf-8"?>
<ds:datastoreItem xmlns:ds="http://schemas.openxmlformats.org/officeDocument/2006/customXml" ds:itemID="{9E040295-D221-4562-9992-960DFB60BBBF}"/>
</file>

<file path=customXml/itemProps3.xml><?xml version="1.0" encoding="utf-8"?>
<ds:datastoreItem xmlns:ds="http://schemas.openxmlformats.org/officeDocument/2006/customXml" ds:itemID="{DD50923C-95A5-44F6-BCC1-6F9FBFEF85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林采霓-數位應用部-永豐銀行</cp:lastModifiedBy>
  <cp:revision/>
  <dcterms:created xsi:type="dcterms:W3CDTF">2020-03-13T10:54:50Z</dcterms:created>
  <dcterms:modified xsi:type="dcterms:W3CDTF">2023-03-02T09:33:54Z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