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增資料夾\存匯系統開發科\需求單20250704\202510010153因應KTB整併專案，敬請協助設定一般數位帳戶優惠及調整相關系統邏輯\IRIS\新增資料夾\"/>
    </mc:Choice>
  </mc:AlternateContent>
  <xr:revisionPtr revIDLastSave="0" documentId="13_ncr:1_{86FA745E-8391-4D86-A760-93C5FCD647E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C2" i="3"/>
  <c r="C8" i="2" l="1"/>
  <c r="C3" i="2"/>
</calcChain>
</file>

<file path=xl/sharedStrings.xml><?xml version="1.0" encoding="utf-8"?>
<sst xmlns="http://schemas.openxmlformats.org/spreadsheetml/2006/main" count="277" uniqueCount="214">
  <si>
    <t xml:space="preserve">Notice：
</t>
    <phoneticPr fontId="2" type="noConversion"/>
  </si>
  <si>
    <t>Document History</t>
    <phoneticPr fontId="2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</si>
  <si>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</si>
  <si>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</si>
  <si>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</si>
  <si>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</si>
  <si>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</si>
  <si>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</si>
  <si>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</si>
  <si>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Ethan</t>
  </si>
  <si>
    <t/>
  </si>
  <si>
    <t>調整對應API Vocabulary欄位名稱</t>
    <phoneticPr fontId="2" type="noConversion"/>
  </si>
  <si>
    <t>朱雅婷</t>
    <phoneticPr fontId="2" type="noConversion"/>
  </si>
  <si>
    <t>2026/02/13</t>
    <phoneticPr fontId="2" type="noConversion"/>
  </si>
  <si>
    <t>配合需求202510010153新增欄位T.DM.PSBNO、T.PFLO.ID</t>
    <phoneticPr fontId="2" type="noConversion"/>
  </si>
  <si>
    <t>配合需求202510010153新增欄位T.DIGITAL.LEVEL、T.KTB.AC</t>
    <phoneticPr fontId="2" type="noConversion"/>
  </si>
  <si>
    <t>江芷螢</t>
    <phoneticPr fontId="2" type="noConversion"/>
  </si>
  <si>
    <t>API KEY (代號)</t>
    <phoneticPr fontId="2" type="noConversion"/>
  </si>
  <si>
    <t>ED0019</t>
  </si>
  <si>
    <t>Description</t>
    <phoneticPr fontId="2" type="noConversion"/>
  </si>
  <si>
    <t>帳號簡易查詢</t>
    <phoneticPr fontId="2" type="noConversion"/>
  </si>
  <si>
    <t>URL</t>
  </si>
  <si>
    <t>Header</t>
    <phoneticPr fontId="2" type="noConversion"/>
  </si>
  <si>
    <t>page_size: 每頁筆數
page_start: 從第幾頁開始
page_token: 查詢回饋的ID，以unique id + ',' + page_size 組成，查詢相同條件切不同頁面時，可配合回傳page_token + page_start
companyId: 分行別
credentials: 帳號/密碼</t>
  </si>
  <si>
    <t>METHOD (GET/POST/PUT/DELETE)</t>
    <phoneticPr fontId="2" type="noConversion"/>
  </si>
  <si>
    <t>GET</t>
  </si>
  <si>
    <t>ENQ / TXN / AAA</t>
    <phoneticPr fontId="2" type="noConversion"/>
  </si>
  <si>
    <t>ENQ</t>
  </si>
  <si>
    <t>Original ENQUIRY ID</t>
    <phoneticPr fontId="2" type="noConversion"/>
  </si>
  <si>
    <t>TMB.ACCT.SH.ENQ</t>
    <phoneticPr fontId="2" type="noConversion"/>
  </si>
  <si>
    <t>ENQUIRY ID</t>
    <phoneticPr fontId="2" type="noConversion"/>
  </si>
  <si>
    <t>SELECTION</t>
  </si>
  <si>
    <t>API_Vocabulary</t>
    <phoneticPr fontId="2" type="noConversion"/>
  </si>
  <si>
    <t>OPERAND</t>
  </si>
  <si>
    <t>Mandatory (必填)</t>
    <phoneticPr fontId="2" type="noConversion"/>
  </si>
  <si>
    <t>List</t>
    <phoneticPr fontId="2" type="noConversion"/>
  </si>
  <si>
    <t>ACCOUNT.ID</t>
  </si>
  <si>
    <t>TmnAccountId</t>
  </si>
  <si>
    <t>EQ</t>
    <phoneticPr fontId="2" type="noConversion"/>
  </si>
  <si>
    <t>√</t>
  </si>
  <si>
    <t>No</t>
  </si>
  <si>
    <t>Field name</t>
  </si>
  <si>
    <t>API Vocabulary</t>
    <phoneticPr fontId="2" type="noConversion"/>
  </si>
  <si>
    <t>COMMENTS</t>
    <phoneticPr fontId="2" type="noConversion"/>
  </si>
  <si>
    <t>Single Multi</t>
  </si>
  <si>
    <t>Length</t>
  </si>
  <si>
    <t>Field Description</t>
    <phoneticPr fontId="2" type="noConversion"/>
  </si>
  <si>
    <t>Drawdown List</t>
    <phoneticPr fontId="2" type="noConversion"/>
  </si>
  <si>
    <t>欄位名稱</t>
    <phoneticPr fontId="2" type="noConversion"/>
  </si>
  <si>
    <t>對應API Vocabulary</t>
    <phoneticPr fontId="2" type="noConversion"/>
  </si>
  <si>
    <t>分組 Group name</t>
    <phoneticPr fontId="2" type="noConversion"/>
  </si>
  <si>
    <t>Single(空白)，Multi(XX&lt;,XX-,XX&gt;)</t>
    <phoneticPr fontId="2" type="noConversion"/>
  </si>
  <si>
    <t>欄位長度+(靠左L,靠右R)</t>
    <phoneticPr fontId="2" type="noConversion"/>
  </si>
  <si>
    <t>欄位說明(中文)</t>
    <phoneticPr fontId="2" type="noConversion"/>
  </si>
  <si>
    <t>欄位說明(英文)</t>
    <phoneticPr fontId="2" type="noConversion"/>
  </si>
  <si>
    <t>選單</t>
    <phoneticPr fontId="2" type="noConversion"/>
  </si>
  <si>
    <t>ACCOUNT.TITLE.1</t>
  </si>
  <si>
    <t>TmnAccountTitle1</t>
  </si>
  <si>
    <t>35L</t>
    <phoneticPr fontId="2" type="noConversion"/>
  </si>
  <si>
    <t>帳戶名稱（中文）</t>
  </si>
  <si>
    <t>Account name(chinese)</t>
  </si>
  <si>
    <t>CUSTOMER</t>
    <phoneticPr fontId="2" type="noConversion"/>
  </si>
  <si>
    <t>EnqCustId</t>
    <phoneticPr fontId="2" type="noConversion"/>
  </si>
  <si>
    <t>11L</t>
  </si>
  <si>
    <t>客戶統編</t>
  </si>
  <si>
    <t>Customer Mnemoric</t>
  </si>
  <si>
    <t>E.PSWD.FLG</t>
  </si>
  <si>
    <t>EnqEPswdFlg</t>
  </si>
  <si>
    <t>12L</t>
  </si>
  <si>
    <t>聯行通提密碼</t>
  </si>
  <si>
    <t>Withdraw password</t>
  </si>
  <si>
    <t>E.KPI.BR</t>
  </si>
  <si>
    <t>EnqEKpiBr</t>
    <phoneticPr fontId="2" type="noConversion"/>
  </si>
  <si>
    <t>6L</t>
    <phoneticPr fontId="2" type="noConversion"/>
  </si>
  <si>
    <t>績效行</t>
  </si>
  <si>
    <t>KPI branch for Dr account</t>
  </si>
  <si>
    <t>CO.CODE</t>
  </si>
  <si>
    <t>TmnCoCode</t>
  </si>
  <si>
    <t>分行別</t>
  </si>
  <si>
    <t>Company code</t>
  </si>
  <si>
    <t>CATEGORY</t>
  </si>
  <si>
    <t>TmnCategory</t>
  </si>
  <si>
    <t>5L</t>
  </si>
  <si>
    <t>帳戶種類</t>
  </si>
  <si>
    <t>Account category</t>
  </si>
  <si>
    <t>CUSTOMER</t>
  </si>
  <si>
    <t>TmnCustomer</t>
  </si>
  <si>
    <t>客戶編號</t>
  </si>
  <si>
    <t>Customer id</t>
  </si>
  <si>
    <t>E.CUST.NAME1</t>
  </si>
  <si>
    <t>EnqECustName1</t>
  </si>
  <si>
    <t>70L</t>
  </si>
  <si>
    <t>客戶名稱（中文）CIF LEVEL</t>
  </si>
  <si>
    <t>Customer name by CIF LEVEL</t>
  </si>
  <si>
    <t>E.CUST.NAME2</t>
  </si>
  <si>
    <t>EnqECustName2</t>
  </si>
  <si>
    <t>客戶名稱（英文）CIF LEVEL</t>
  </si>
  <si>
    <t>CURRENCY</t>
  </si>
  <si>
    <t>TmnCurrency</t>
  </si>
  <si>
    <t>3L</t>
  </si>
  <si>
    <t>幣別</t>
  </si>
  <si>
    <t>Currency</t>
    <phoneticPr fontId="2" type="noConversion"/>
  </si>
  <si>
    <t>E.MAIN.ACCT.NO</t>
  </si>
  <si>
    <t>TAioMainAc</t>
  </si>
  <si>
    <t>14R</t>
  </si>
  <si>
    <t>主帳號</t>
  </si>
  <si>
    <t>E.ACCT.ID</t>
  </si>
  <si>
    <t>帳號</t>
  </si>
  <si>
    <t>Account no</t>
    <phoneticPr fontId="2" type="noConversion"/>
  </si>
  <si>
    <t>MNEMONIC</t>
  </si>
  <si>
    <t>TmnMnemonic</t>
  </si>
  <si>
    <t>身份證號</t>
  </si>
  <si>
    <t>TmnCustomerStatus</t>
    <phoneticPr fontId="2" type="noConversion"/>
  </si>
  <si>
    <t>2R</t>
  </si>
  <si>
    <t>客戶狀態</t>
  </si>
  <si>
    <t>Customer status</t>
  </si>
  <si>
    <t>WORKING.BALANCE</t>
  </si>
  <si>
    <t>TmnWorkingBalance</t>
  </si>
  <si>
    <t>19R</t>
    <phoneticPr fontId="2" type="noConversion"/>
  </si>
  <si>
    <t>帳戶餘額</t>
  </si>
  <si>
    <t>Account Balance</t>
    <phoneticPr fontId="2" type="noConversion"/>
  </si>
  <si>
    <t>TQidType</t>
    <phoneticPr fontId="2" type="noConversion"/>
  </si>
  <si>
    <t>2L</t>
  </si>
  <si>
    <t>外匯身份別</t>
  </si>
  <si>
    <t>T.QID.TYPE</t>
  </si>
  <si>
    <t>E.AIO.FLG</t>
  </si>
  <si>
    <t>EnqEAioFlg</t>
  </si>
  <si>
    <t>1L</t>
  </si>
  <si>
    <t>台幣帳號AIO記號</t>
  </si>
  <si>
    <t>The flag of TWD Account</t>
  </si>
  <si>
    <t>E.PSBK.NO</t>
  </si>
  <si>
    <t>EnqEPsbkNo</t>
  </si>
  <si>
    <t>存摺號</t>
  </si>
  <si>
    <t>Passbook id</t>
  </si>
  <si>
    <t>PASSBOOK</t>
  </si>
  <si>
    <t>TmnPassbook</t>
  </si>
  <si>
    <t>存摺記號</t>
  </si>
  <si>
    <t>Passbook flag</t>
  </si>
  <si>
    <t>TmnTarget</t>
    <phoneticPr fontId="2" type="noConversion"/>
  </si>
  <si>
    <t>1R</t>
  </si>
  <si>
    <t>銀行内部員工類型</t>
  </si>
  <si>
    <t>Customer Target</t>
  </si>
  <si>
    <t>E.T.SPH.SALARY</t>
  </si>
  <si>
    <t>TSphSalary</t>
  </si>
  <si>
    <t>永豐薪資戶</t>
  </si>
  <si>
    <t>Sinopac staff salary flag</t>
  </si>
  <si>
    <t>E.T.MMA.AC</t>
  </si>
  <si>
    <t>TMmaAc</t>
  </si>
  <si>
    <t>19L</t>
  </si>
  <si>
    <t>證券MMA連結</t>
  </si>
  <si>
    <t>Stock link account</t>
  </si>
  <si>
    <t>E.T.MMA.AC.NAME</t>
  </si>
  <si>
    <t>證券MMA連結名稱</t>
  </si>
  <si>
    <t>Stock link account</t>
    <phoneticPr fontId="2" type="noConversion"/>
  </si>
  <si>
    <t>E.DIGITAL.FG</t>
  </si>
  <si>
    <t>TDigitalFg</t>
  </si>
  <si>
    <t>數位記號</t>
  </si>
  <si>
    <t>account digiat flag</t>
    <phoneticPr fontId="2" type="noConversion"/>
  </si>
  <si>
    <t>E.ACCT.AVL.AMT</t>
  </si>
  <si>
    <t>EnqEAcctAvlAmt</t>
  </si>
  <si>
    <t>最高可使用額</t>
  </si>
  <si>
    <t>Account available balance</t>
  </si>
  <si>
    <t>E.T.REPY.AC.FLG</t>
  </si>
  <si>
    <t>EnqETRepyAcFlg</t>
  </si>
  <si>
    <t>備償戶</t>
  </si>
  <si>
    <t>Repay account flag</t>
  </si>
  <si>
    <t>E.T.SECR.AC.FLG</t>
  </si>
  <si>
    <t>EnqETSecrAcFlg</t>
  </si>
  <si>
    <t>秘密戶記號</t>
  </si>
  <si>
    <t>Secret account flag</t>
  </si>
  <si>
    <t>ACCOUNT.TITLE.2</t>
  </si>
  <si>
    <t>TmnAccountTitle2</t>
  </si>
  <si>
    <t>35L</t>
  </si>
  <si>
    <t>帳戶名稱（英文）</t>
  </si>
  <si>
    <t>Account name(english)</t>
    <phoneticPr fontId="2" type="noConversion"/>
  </si>
  <si>
    <t>TmnSector</t>
    <phoneticPr fontId="2" type="noConversion"/>
  </si>
  <si>
    <t>4R</t>
  </si>
  <si>
    <t>客戶身分別</t>
  </si>
  <si>
    <t>Customer Sector</t>
  </si>
  <si>
    <t>TmnDateOfBirth</t>
    <phoneticPr fontId="2" type="noConversion"/>
  </si>
  <si>
    <t>8L</t>
  </si>
  <si>
    <t>客戶生日</t>
  </si>
  <si>
    <t>Customer Birth of Date</t>
  </si>
  <si>
    <t>E.PB.FG</t>
    <phoneticPr fontId="2" type="noConversion"/>
  </si>
  <si>
    <t>TPbFg</t>
    <phoneticPr fontId="2" type="noConversion"/>
  </si>
  <si>
    <t>1L</t>
    <phoneticPr fontId="2" type="noConversion"/>
  </si>
  <si>
    <t>私銀帳戶記號</t>
  </si>
  <si>
    <t>PB  account  flag</t>
    <phoneticPr fontId="2" type="noConversion"/>
  </si>
  <si>
    <t>E.PFLO.ID</t>
    <phoneticPr fontId="2" type="noConversion"/>
  </si>
  <si>
    <t>EnqEPfloId</t>
    <phoneticPr fontId="2" type="noConversion"/>
  </si>
  <si>
    <t>20L</t>
    <phoneticPr fontId="2" type="noConversion"/>
  </si>
  <si>
    <t>投資組合編號</t>
    <phoneticPr fontId="2" type="noConversion"/>
  </si>
  <si>
    <t>Portfolio NO.</t>
  </si>
  <si>
    <t>E.DIGITAL.LEVEL</t>
  </si>
  <si>
    <t>EnqEDigitalLevel</t>
    <phoneticPr fontId="2" type="noConversion"/>
  </si>
  <si>
    <t>數位帳戶等級</t>
  </si>
  <si>
    <t>Digital account level</t>
    <phoneticPr fontId="2" type="noConversion"/>
  </si>
  <si>
    <t>E.KTB.AC</t>
  </si>
  <si>
    <t>EnqEKtbAc</t>
    <phoneticPr fontId="2" type="noConversion"/>
  </si>
  <si>
    <t>KTB帳號</t>
  </si>
  <si>
    <t>KTB ACCOUNT NO</t>
    <phoneticPr fontId="2" type="noConversion"/>
  </si>
  <si>
    <t>E.DM.PSBNO</t>
  </si>
  <si>
    <t>EnqEDmPsbno</t>
    <phoneticPr fontId="2" type="noConversion"/>
  </si>
  <si>
    <t>DM前舊存摺號碼</t>
  </si>
  <si>
    <t>KTB passbook number</t>
    <phoneticPr fontId="2" type="noConversion"/>
  </si>
  <si>
    <t>NETBANK</t>
    <phoneticPr fontId="2" type="noConversion"/>
  </si>
  <si>
    <t>MOBILE</t>
    <phoneticPr fontId="2" type="noConversion"/>
  </si>
  <si>
    <t>METHOD</t>
    <phoneticPr fontId="2" type="noConversion"/>
  </si>
  <si>
    <t>Function</t>
    <phoneticPr fontId="2" type="noConversion"/>
  </si>
  <si>
    <t>Request json</t>
    <phoneticPr fontId="2" type="noConversion"/>
  </si>
  <si>
    <t>Response json</t>
  </si>
  <si>
    <t>GET</t>
    <phoneticPr fontId="2" type="noConversion"/>
  </si>
  <si>
    <t>TmnAccountId: 00200801019248
credentials: VDR004/123456</t>
  </si>
  <si>
    <t>{
  "header": {
    "audit": {
      "T24_time": 446,
      "parse_time": 1
    },
    "page_start": 1,
    "page_token": "6801562569.01,99",
    "total_size": 1,
    "page_size": 99,
    "status": "success"
  },
  "body": [
    {
      "TmnCustomer": "19900713",
      "EnqEKpiBr": "BR0002",
      "TmnWorkingBalance": "36.72",
      "TmnAccountTitle1": "中文姓名2569442",
      "TmnCategory": "1081",
      "TmnAccountId": "00200801019248",
      "EnqECustName1": "中文姓名2569442",
      "TmnCurrency": "USD",
      "TAioMainAc": "00200800019242",
      "EnqEAioFlg": "Y",
      "TmnCoCode": "TW8070002",
      "TmnPassbook": "Y"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</si>
</sst>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b/>
      <sz val="11"/>
      <name val="標楷體"/>
      <family val="4"/>
      <charset val="136"/>
    </font>
    <font>
      <sz val="12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1"/>
      <color theme="1"/>
      <name val="標楷體"/>
      <family val="4"/>
      <charset val="136"/>
    </font>
    <font>
      <b/>
      <sz val="16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color rgb="FF0000D4"/>
      <name val="標楷體"/>
      <family val="4"/>
      <charset val="136"/>
    </font>
    <font>
      <sz val="10"/>
      <color indexed="12"/>
      <name val="標楷體"/>
      <family val="4"/>
      <charset val="136"/>
    </font>
    <font>
      <sz val="10"/>
      <color rgb="FFFF0000"/>
      <name val="標楷體"/>
      <family val="4"/>
      <charset val="136"/>
    </font>
    <font>
      <u/>
      <sz val="11"/>
      <color theme="10"/>
      <name val="標楷體"/>
      <family val="4"/>
      <charset val="136"/>
    </font>
    <font>
      <b/>
      <sz val="11"/>
      <color theme="1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7" fillId="6" borderId="6" xfId="1" applyFont="1" applyFill="1" applyBorder="1" applyAlignment="1">
      <alignment vertical="center" wrapText="1"/>
    </xf>
    <xf numFmtId="0" fontId="6" fillId="0" borderId="6" xfId="0" applyFont="1" applyBorder="1"/>
    <xf numFmtId="0" fontId="6" fillId="0" borderId="0" xfId="0" applyFont="1"/>
    <xf numFmtId="0" fontId="6" fillId="0" borderId="6" xfId="0" applyFont="1" applyBorder="1" applyAlignment="1">
      <alignment wrapText="1"/>
    </xf>
    <xf numFmtId="0" fontId="7" fillId="6" borderId="6" xfId="1" applyFont="1" applyFill="1" applyBorder="1" applyAlignment="1">
      <alignment horizontal="left" vertical="top" wrapText="1"/>
    </xf>
    <xf numFmtId="0" fontId="7" fillId="6" borderId="6" xfId="0" applyFont="1" applyFill="1" applyBorder="1"/>
    <xf numFmtId="0" fontId="6" fillId="0" borderId="6" xfId="0" quotePrefix="1" applyFont="1" applyBorder="1"/>
    <xf numFmtId="0" fontId="6" fillId="0" borderId="6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7" fillId="4" borderId="6" xfId="0" applyFont="1" applyFill="1" applyBorder="1" applyAlignment="1">
      <alignment horizontal="left"/>
    </xf>
    <xf numFmtId="0" fontId="7" fillId="4" borderId="6" xfId="4" applyFont="1" applyFill="1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4" borderId="6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7" borderId="0" xfId="0" applyFont="1" applyFill="1"/>
    <xf numFmtId="0" fontId="11" fillId="0" borderId="0" xfId="0" applyFont="1" applyAlignment="1">
      <alignment vertical="center"/>
    </xf>
    <xf numFmtId="0" fontId="13" fillId="3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4" fontId="14" fillId="0" borderId="5" xfId="0" quotePrefix="1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6" fillId="0" borderId="5" xfId="0" quotePrefix="1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 wrapText="1"/>
    </xf>
    <xf numFmtId="0" fontId="17" fillId="0" borderId="0" xfId="5" applyFont="1"/>
    <xf numFmtId="0" fontId="11" fillId="0" borderId="0" xfId="0" applyFont="1" applyAlignment="1">
      <alignment horizontal="left" vertical="top"/>
    </xf>
    <xf numFmtId="0" fontId="11" fillId="0" borderId="0" xfId="0" applyFont="1"/>
    <xf numFmtId="0" fontId="18" fillId="5" borderId="8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11" fillId="0" borderId="6" xfId="0" applyFont="1" applyBorder="1" applyAlignment="1">
      <alignment vertical="top"/>
    </xf>
    <xf numFmtId="0" fontId="6" fillId="0" borderId="6" xfId="5" applyFont="1" applyBorder="1" applyAlignment="1">
      <alignment horizontal="left" vertical="top" wrapText="1"/>
    </xf>
    <xf numFmtId="0" fontId="11" fillId="0" borderId="10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/>
    <xf numFmtId="0" fontId="11" fillId="0" borderId="3" xfId="0" applyFont="1" applyBorder="1" applyAlignment="1"/>
  </cellXfs>
  <cellStyles count="6">
    <cellStyle name="Hyperlink" xfId="3" xr:uid="{00000000-0005-0000-0000-000000000000}"/>
    <cellStyle name="Normal 2" xfId="1" xr:uid="{00000000-0005-0000-0000-000001000000}"/>
    <cellStyle name="Normal 4" xfId="2" xr:uid="{00000000-0005-0000-0000-000002000000}"/>
    <cellStyle name="一般" xfId="0" builtinId="0"/>
    <cellStyle name="一般 2" xfId="4" xr:uid="{00000000-0005-0000-0000-000004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C9" sqref="C9"/>
    </sheetView>
  </sheetViews>
  <sheetFormatPr defaultColWidth="9.140625" defaultRowHeight="14.45"/>
  <cols>
    <col min="1" max="2" width="13" style="23" customWidth="1"/>
    <col min="3" max="3" width="85.140625" style="23" customWidth="1"/>
    <col min="4" max="5" width="13" style="23" customWidth="1"/>
    <col min="6" max="16384" width="9.140625" style="23"/>
  </cols>
  <sheetData>
    <row r="1" spans="1:5" ht="38.25" customHeight="1">
      <c r="A1" s="48" t="s">
        <v>0</v>
      </c>
      <c r="B1" s="49"/>
      <c r="C1" s="49"/>
      <c r="D1" s="49"/>
      <c r="E1" s="49"/>
    </row>
    <row r="2" spans="1:5" ht="20.100000000000001" customHeight="1" thickBot="1">
      <c r="A2" s="47" t="s">
        <v>1</v>
      </c>
      <c r="B2" s="50"/>
      <c r="C2" s="50"/>
      <c r="D2" s="50"/>
      <c r="E2" s="51"/>
    </row>
    <row r="3" spans="1:5" ht="15" thickBot="1">
      <c r="A3" s="24" t="s">
        <v>2</v>
      </c>
      <c r="B3" s="24" t="s">
        <v>3</v>
      </c>
      <c r="C3" s="24" t="s">
        <v>4</v>
      </c>
      <c r="D3" s="24" t="s">
        <v>5</v>
      </c>
      <c r="E3" s="24" t="s">
        <v>6</v>
      </c>
    </row>
    <row r="4" spans="1:5" ht="15" thickBot="1">
      <c r="A4" s="25" t="s">
        <v>7</v>
      </c>
      <c r="B4" s="26">
        <v>45734</v>
      </c>
      <c r="C4" s="27" t="s">
        <v>8</v>
      </c>
      <c r="D4" s="25" t="s">
        <v>9</v>
      </c>
      <c r="E4" s="28" t="s">
        <v>10</v>
      </c>
    </row>
    <row r="5" spans="1:5" ht="15" thickBot="1">
      <c r="A5" s="25"/>
      <c r="B5" s="26">
        <v>45789</v>
      </c>
      <c r="C5" s="27" t="s">
        <v>11</v>
      </c>
      <c r="D5" s="25" t="s">
        <v>12</v>
      </c>
      <c r="E5" s="28"/>
    </row>
    <row r="6" spans="1:5" ht="15" thickBot="1">
      <c r="A6" s="29"/>
      <c r="B6" s="30" t="s">
        <v>13</v>
      </c>
      <c r="C6" s="31" t="s">
        <v>14</v>
      </c>
      <c r="D6" s="32" t="s">
        <v>12</v>
      </c>
      <c r="E6" s="28"/>
    </row>
    <row r="7" spans="1:5" ht="15" thickBot="1">
      <c r="A7" s="29"/>
      <c r="B7" s="30" t="s">
        <v>13</v>
      </c>
      <c r="C7" s="31" t="s">
        <v>15</v>
      </c>
      <c r="D7" s="33" t="s">
        <v>16</v>
      </c>
      <c r="E7" s="28"/>
    </row>
    <row r="8" spans="1:5" ht="15" thickBot="1">
      <c r="A8" s="28"/>
      <c r="B8" s="34"/>
      <c r="C8" s="35"/>
      <c r="D8" s="28"/>
      <c r="E8" s="28"/>
    </row>
    <row r="9" spans="1:5" ht="15" thickBot="1">
      <c r="A9" s="28"/>
      <c r="B9" s="34"/>
      <c r="C9" s="35"/>
      <c r="D9" s="28"/>
      <c r="E9" s="28"/>
    </row>
    <row r="10" spans="1:5" ht="15" thickBot="1">
      <c r="A10" s="28"/>
      <c r="B10" s="34"/>
      <c r="C10" s="35"/>
      <c r="D10" s="28"/>
      <c r="E10" s="28"/>
    </row>
    <row r="11" spans="1:5" ht="15" thickBot="1">
      <c r="A11" s="28" t="s">
        <v>10</v>
      </c>
      <c r="B11" s="28" t="s">
        <v>10</v>
      </c>
      <c r="C11" s="28" t="s">
        <v>10</v>
      </c>
      <c r="D11" s="28" t="s">
        <v>10</v>
      </c>
      <c r="E11" s="28" t="s">
        <v>10</v>
      </c>
    </row>
    <row r="12" spans="1:5" ht="15" thickBot="1">
      <c r="A12" s="28" t="s">
        <v>10</v>
      </c>
      <c r="B12" s="28" t="s">
        <v>10</v>
      </c>
      <c r="C12" s="28" t="s">
        <v>10</v>
      </c>
      <c r="D12" s="28" t="s">
        <v>10</v>
      </c>
      <c r="E12" s="28" t="s">
        <v>10</v>
      </c>
    </row>
    <row r="13" spans="1:5" ht="15" thickBot="1">
      <c r="A13" s="28" t="s">
        <v>10</v>
      </c>
      <c r="B13" s="28" t="s">
        <v>10</v>
      </c>
      <c r="C13" s="28" t="s">
        <v>10</v>
      </c>
      <c r="D13" s="28" t="s">
        <v>10</v>
      </c>
      <c r="E13" s="28" t="s">
        <v>10</v>
      </c>
    </row>
    <row r="14" spans="1:5" ht="15" thickBot="1">
      <c r="A14" s="28" t="s">
        <v>10</v>
      </c>
      <c r="B14" s="28" t="s">
        <v>10</v>
      </c>
      <c r="C14" s="28" t="s">
        <v>10</v>
      </c>
      <c r="D14" s="28" t="s">
        <v>10</v>
      </c>
      <c r="E14" s="28" t="s">
        <v>10</v>
      </c>
    </row>
    <row r="15" spans="1:5" ht="15" thickBot="1">
      <c r="A15" s="28" t="s">
        <v>10</v>
      </c>
      <c r="B15" s="28" t="s">
        <v>10</v>
      </c>
      <c r="C15" s="28" t="s">
        <v>10</v>
      </c>
      <c r="D15" s="28" t="s">
        <v>10</v>
      </c>
      <c r="E15" s="28" t="s">
        <v>10</v>
      </c>
    </row>
    <row r="16" spans="1:5" ht="15" thickBot="1">
      <c r="A16" s="28" t="s">
        <v>10</v>
      </c>
      <c r="B16" s="28" t="s">
        <v>10</v>
      </c>
      <c r="C16" s="28" t="s">
        <v>10</v>
      </c>
      <c r="D16" s="28" t="s">
        <v>10</v>
      </c>
      <c r="E16" s="28" t="s">
        <v>10</v>
      </c>
    </row>
    <row r="17" spans="1:5" ht="15" thickBot="1">
      <c r="A17" s="28" t="s">
        <v>10</v>
      </c>
      <c r="B17" s="28" t="s">
        <v>10</v>
      </c>
      <c r="C17" s="28" t="s">
        <v>10</v>
      </c>
      <c r="D17" s="28" t="s">
        <v>10</v>
      </c>
      <c r="E17" s="28" t="s">
        <v>10</v>
      </c>
    </row>
  </sheetData>
  <mergeCells count="2">
    <mergeCell ref="A2:E2"/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2"/>
  <sheetViews>
    <sheetView topLeftCell="A39" zoomScale="90" zoomScaleNormal="90" workbookViewId="0">
      <selection activeCell="B48" sqref="B48"/>
    </sheetView>
  </sheetViews>
  <sheetFormatPr defaultColWidth="8.85546875" defaultRowHeight="14.45"/>
  <cols>
    <col min="1" max="1" width="4.28515625" style="4" bestFit="1" customWidth="1"/>
    <col min="2" max="2" width="26.85546875" style="4" customWidth="1"/>
    <col min="3" max="3" width="72.85546875" style="7" bestFit="1" customWidth="1"/>
    <col min="4" max="4" width="18.140625" style="7" bestFit="1" customWidth="1"/>
    <col min="5" max="5" width="33.7109375" style="7" bestFit="1" customWidth="1"/>
    <col min="6" max="6" width="25.140625" style="7" bestFit="1" customWidth="1"/>
    <col min="7" max="7" width="38.42578125" style="7" bestFit="1" customWidth="1"/>
    <col min="8" max="8" width="45.28515625" style="7" bestFit="1" customWidth="1"/>
    <col min="9" max="9" width="15.42578125" style="7" bestFit="1" customWidth="1"/>
    <col min="10" max="16384" width="8.85546875" style="7"/>
  </cols>
  <sheetData>
    <row r="1" spans="1:9">
      <c r="B1" s="5" t="s">
        <v>17</v>
      </c>
      <c r="C1" s="6" t="s">
        <v>18</v>
      </c>
    </row>
    <row r="2" spans="1:9">
      <c r="B2" s="5" t="s">
        <v>19</v>
      </c>
      <c r="C2" s="6" t="s">
        <v>20</v>
      </c>
    </row>
    <row r="3" spans="1:9">
      <c r="B3" s="5" t="s">
        <v>21</v>
      </c>
      <c r="C3" s="6" t="str">
        <f>+"/api/v1.0.0/party/"&amp;C1</f>
        <v>/api/v1.0.0/party/ED0019</v>
      </c>
    </row>
    <row r="4" spans="1:9" ht="87">
      <c r="B4" s="5" t="s">
        <v>22</v>
      </c>
      <c r="C4" s="8" t="s">
        <v>23</v>
      </c>
    </row>
    <row r="5" spans="1:9" ht="29.1">
      <c r="B5" s="5" t="s">
        <v>24</v>
      </c>
      <c r="C5" s="6" t="s">
        <v>25</v>
      </c>
    </row>
    <row r="6" spans="1:9">
      <c r="B6" s="5" t="s">
        <v>26</v>
      </c>
      <c r="C6" s="6" t="s">
        <v>27</v>
      </c>
    </row>
    <row r="7" spans="1:9">
      <c r="B7" s="5" t="s">
        <v>28</v>
      </c>
      <c r="C7" s="6" t="s">
        <v>29</v>
      </c>
    </row>
    <row r="8" spans="1:9">
      <c r="B8" s="5" t="s">
        <v>30</v>
      </c>
      <c r="C8" s="6" t="str">
        <f>+"ENQ.API."&amp;$C$1&amp;".1.0.0"</f>
        <v>ENQ.API.ED0019.1.0.0</v>
      </c>
    </row>
    <row r="9" spans="1:9">
      <c r="B9" s="7"/>
    </row>
    <row r="10" spans="1:9">
      <c r="B10" s="7"/>
    </row>
    <row r="11" spans="1:9">
      <c r="B11" s="5" t="s">
        <v>31</v>
      </c>
      <c r="C11" s="9" t="s">
        <v>32</v>
      </c>
      <c r="D11" s="5" t="s">
        <v>33</v>
      </c>
      <c r="E11" s="10" t="s">
        <v>34</v>
      </c>
      <c r="F11" s="10" t="s">
        <v>35</v>
      </c>
    </row>
    <row r="12" spans="1:9">
      <c r="B12" s="11" t="s">
        <v>36</v>
      </c>
      <c r="C12" s="12" t="s">
        <v>37</v>
      </c>
      <c r="D12" s="6" t="s">
        <v>38</v>
      </c>
      <c r="E12" s="6" t="s">
        <v>39</v>
      </c>
      <c r="F12" s="6"/>
    </row>
    <row r="13" spans="1:9">
      <c r="B13" s="7"/>
      <c r="D13" s="13"/>
    </row>
    <row r="14" spans="1:9">
      <c r="A14" s="14"/>
      <c r="B14" s="13"/>
      <c r="C14" s="14"/>
      <c r="D14" s="13"/>
      <c r="E14" s="13"/>
      <c r="F14" s="13"/>
    </row>
    <row r="15" spans="1:9" s="17" customFormat="1">
      <c r="A15" s="15" t="s">
        <v>40</v>
      </c>
      <c r="B15" s="15" t="s">
        <v>41</v>
      </c>
      <c r="C15" s="15" t="s">
        <v>42</v>
      </c>
      <c r="D15" s="16" t="s">
        <v>43</v>
      </c>
      <c r="E15" s="15" t="s">
        <v>44</v>
      </c>
      <c r="F15" s="15" t="s">
        <v>45</v>
      </c>
      <c r="G15" s="15" t="s">
        <v>46</v>
      </c>
      <c r="H15" s="15" t="s">
        <v>46</v>
      </c>
      <c r="I15" s="15" t="s">
        <v>47</v>
      </c>
    </row>
    <row r="16" spans="1:9" s="17" customFormat="1">
      <c r="A16" s="18"/>
      <c r="B16" s="18" t="s">
        <v>48</v>
      </c>
      <c r="C16" s="15" t="s">
        <v>49</v>
      </c>
      <c r="D16" s="15" t="s">
        <v>50</v>
      </c>
      <c r="E16" s="15" t="s">
        <v>51</v>
      </c>
      <c r="F16" s="15" t="s">
        <v>52</v>
      </c>
      <c r="G16" s="15" t="s">
        <v>53</v>
      </c>
      <c r="H16" s="15" t="s">
        <v>54</v>
      </c>
      <c r="I16" s="15" t="s">
        <v>55</v>
      </c>
    </row>
    <row r="17" spans="1:8">
      <c r="A17" s="7">
        <v>1</v>
      </c>
      <c r="B17" s="7" t="s">
        <v>56</v>
      </c>
      <c r="C17" s="7" t="s">
        <v>57</v>
      </c>
      <c r="F17" s="7" t="s">
        <v>58</v>
      </c>
      <c r="G17" s="7" t="s">
        <v>59</v>
      </c>
      <c r="H17" s="7" t="s">
        <v>60</v>
      </c>
    </row>
    <row r="18" spans="1:8">
      <c r="A18" s="7">
        <v>2</v>
      </c>
      <c r="B18" s="7" t="s">
        <v>61</v>
      </c>
      <c r="C18" s="7" t="s">
        <v>62</v>
      </c>
      <c r="F18" s="7" t="s">
        <v>63</v>
      </c>
      <c r="G18" s="7" t="s">
        <v>64</v>
      </c>
      <c r="H18" s="7" t="s">
        <v>65</v>
      </c>
    </row>
    <row r="19" spans="1:8">
      <c r="A19" s="7">
        <v>3</v>
      </c>
      <c r="B19" s="7" t="s">
        <v>66</v>
      </c>
      <c r="C19" s="7" t="s">
        <v>67</v>
      </c>
      <c r="F19" s="7" t="s">
        <v>68</v>
      </c>
      <c r="G19" s="7" t="s">
        <v>69</v>
      </c>
      <c r="H19" s="7" t="s">
        <v>70</v>
      </c>
    </row>
    <row r="20" spans="1:8">
      <c r="A20" s="7">
        <v>4</v>
      </c>
      <c r="B20" s="7" t="s">
        <v>71</v>
      </c>
      <c r="C20" s="7" t="s">
        <v>72</v>
      </c>
      <c r="F20" s="7" t="s">
        <v>73</v>
      </c>
      <c r="G20" s="7" t="s">
        <v>74</v>
      </c>
      <c r="H20" s="7" t="s">
        <v>75</v>
      </c>
    </row>
    <row r="21" spans="1:8">
      <c r="A21" s="7">
        <v>5</v>
      </c>
      <c r="B21" s="7" t="s">
        <v>76</v>
      </c>
      <c r="C21" s="7" t="s">
        <v>77</v>
      </c>
      <c r="F21" s="7" t="s">
        <v>63</v>
      </c>
      <c r="G21" s="7" t="s">
        <v>78</v>
      </c>
      <c r="H21" s="7" t="s">
        <v>79</v>
      </c>
    </row>
    <row r="22" spans="1:8">
      <c r="A22" s="7">
        <v>6</v>
      </c>
      <c r="B22" s="7" t="s">
        <v>80</v>
      </c>
      <c r="C22" s="7" t="s">
        <v>81</v>
      </c>
      <c r="F22" s="7" t="s">
        <v>82</v>
      </c>
      <c r="G22" s="7" t="s">
        <v>83</v>
      </c>
      <c r="H22" s="7" t="s">
        <v>84</v>
      </c>
    </row>
    <row r="23" spans="1:8">
      <c r="A23" s="7">
        <v>7</v>
      </c>
      <c r="B23" s="7" t="s">
        <v>85</v>
      </c>
      <c r="C23" s="7" t="s">
        <v>86</v>
      </c>
      <c r="F23" s="7" t="s">
        <v>63</v>
      </c>
      <c r="G23" s="7" t="s">
        <v>87</v>
      </c>
      <c r="H23" s="7" t="s">
        <v>88</v>
      </c>
    </row>
    <row r="24" spans="1:8">
      <c r="A24" s="7">
        <v>8</v>
      </c>
      <c r="B24" s="7" t="s">
        <v>89</v>
      </c>
      <c r="C24" s="7" t="s">
        <v>90</v>
      </c>
      <c r="F24" s="7" t="s">
        <v>91</v>
      </c>
      <c r="G24" s="7" t="s">
        <v>92</v>
      </c>
      <c r="H24" s="7" t="s">
        <v>93</v>
      </c>
    </row>
    <row r="25" spans="1:8">
      <c r="A25" s="7">
        <v>9</v>
      </c>
      <c r="B25" s="7" t="s">
        <v>94</v>
      </c>
      <c r="C25" s="7" t="s">
        <v>95</v>
      </c>
      <c r="F25" s="7" t="s">
        <v>91</v>
      </c>
      <c r="G25" s="7" t="s">
        <v>96</v>
      </c>
      <c r="H25" s="7" t="s">
        <v>93</v>
      </c>
    </row>
    <row r="26" spans="1:8">
      <c r="A26" s="7">
        <v>10</v>
      </c>
      <c r="B26" s="7" t="s">
        <v>97</v>
      </c>
      <c r="C26" s="7" t="s">
        <v>98</v>
      </c>
      <c r="F26" s="7" t="s">
        <v>99</v>
      </c>
      <c r="G26" s="7" t="s">
        <v>100</v>
      </c>
      <c r="H26" s="7" t="s">
        <v>101</v>
      </c>
    </row>
    <row r="27" spans="1:8">
      <c r="A27" s="7">
        <v>11</v>
      </c>
      <c r="B27" s="7" t="s">
        <v>102</v>
      </c>
      <c r="C27" s="7" t="s">
        <v>103</v>
      </c>
      <c r="F27" s="7" t="s">
        <v>104</v>
      </c>
      <c r="G27" s="7" t="s">
        <v>105</v>
      </c>
    </row>
    <row r="28" spans="1:8">
      <c r="A28" s="7">
        <v>12</v>
      </c>
      <c r="B28" s="7" t="s">
        <v>106</v>
      </c>
      <c r="C28" s="7" t="s">
        <v>37</v>
      </c>
      <c r="F28" s="7" t="s">
        <v>104</v>
      </c>
      <c r="G28" s="7" t="s">
        <v>107</v>
      </c>
      <c r="H28" s="7" t="s">
        <v>108</v>
      </c>
    </row>
    <row r="29" spans="1:8">
      <c r="A29" s="7">
        <v>13</v>
      </c>
      <c r="B29" s="7" t="s">
        <v>109</v>
      </c>
      <c r="C29" s="7" t="s">
        <v>110</v>
      </c>
      <c r="F29" s="7" t="s">
        <v>63</v>
      </c>
      <c r="G29" s="7" t="s">
        <v>111</v>
      </c>
      <c r="H29" s="7" t="s">
        <v>65</v>
      </c>
    </row>
    <row r="30" spans="1:8">
      <c r="A30" s="7">
        <v>14</v>
      </c>
      <c r="B30" s="7" t="s">
        <v>85</v>
      </c>
      <c r="C30" s="7" t="s">
        <v>112</v>
      </c>
      <c r="F30" s="7" t="s">
        <v>113</v>
      </c>
      <c r="G30" s="7" t="s">
        <v>114</v>
      </c>
      <c r="H30" s="7" t="s">
        <v>115</v>
      </c>
    </row>
    <row r="31" spans="1:8">
      <c r="A31" s="7">
        <v>15</v>
      </c>
      <c r="B31" s="7" t="s">
        <v>116</v>
      </c>
      <c r="C31" s="7" t="s">
        <v>117</v>
      </c>
      <c r="F31" s="7" t="s">
        <v>118</v>
      </c>
      <c r="G31" s="7" t="s">
        <v>119</v>
      </c>
      <c r="H31" s="7" t="s">
        <v>120</v>
      </c>
    </row>
    <row r="32" spans="1:8">
      <c r="A32" s="7">
        <v>16</v>
      </c>
      <c r="B32" s="7" t="s">
        <v>85</v>
      </c>
      <c r="C32" s="7" t="s">
        <v>121</v>
      </c>
      <c r="F32" s="7" t="s">
        <v>122</v>
      </c>
      <c r="G32" s="7" t="s">
        <v>123</v>
      </c>
      <c r="H32" s="7" t="s">
        <v>124</v>
      </c>
    </row>
    <row r="33" spans="1:8">
      <c r="A33" s="7">
        <v>17</v>
      </c>
      <c r="B33" s="7" t="s">
        <v>125</v>
      </c>
      <c r="C33" s="7" t="s">
        <v>126</v>
      </c>
      <c r="F33" s="7" t="s">
        <v>127</v>
      </c>
      <c r="G33" s="7" t="s">
        <v>128</v>
      </c>
      <c r="H33" s="7" t="s">
        <v>129</v>
      </c>
    </row>
    <row r="34" spans="1:8">
      <c r="A34" s="7">
        <v>18</v>
      </c>
      <c r="B34" s="7" t="s">
        <v>130</v>
      </c>
      <c r="C34" s="7" t="s">
        <v>131</v>
      </c>
      <c r="F34" s="7" t="s">
        <v>104</v>
      </c>
      <c r="G34" s="7" t="s">
        <v>132</v>
      </c>
      <c r="H34" s="7" t="s">
        <v>133</v>
      </c>
    </row>
    <row r="35" spans="1:8">
      <c r="A35" s="7">
        <v>19</v>
      </c>
      <c r="B35" s="7" t="s">
        <v>134</v>
      </c>
      <c r="C35" s="7" t="s">
        <v>135</v>
      </c>
      <c r="F35" s="7" t="s">
        <v>99</v>
      </c>
      <c r="G35" s="7" t="s">
        <v>136</v>
      </c>
      <c r="H35" s="7" t="s">
        <v>137</v>
      </c>
    </row>
    <row r="36" spans="1:8" ht="14.45" customHeight="1">
      <c r="A36" s="7">
        <v>20</v>
      </c>
      <c r="B36" s="7" t="s">
        <v>85</v>
      </c>
      <c r="C36" s="7" t="s">
        <v>138</v>
      </c>
      <c r="F36" s="7" t="s">
        <v>139</v>
      </c>
      <c r="G36" s="7" t="s">
        <v>140</v>
      </c>
      <c r="H36" s="7" t="s">
        <v>141</v>
      </c>
    </row>
    <row r="37" spans="1:8">
      <c r="A37" s="7">
        <v>21</v>
      </c>
      <c r="B37" s="7" t="s">
        <v>142</v>
      </c>
      <c r="C37" s="7" t="s">
        <v>143</v>
      </c>
      <c r="F37" s="7" t="s">
        <v>127</v>
      </c>
      <c r="G37" s="7" t="s">
        <v>144</v>
      </c>
      <c r="H37" s="7" t="s">
        <v>145</v>
      </c>
    </row>
    <row r="38" spans="1:8">
      <c r="A38" s="7">
        <v>22</v>
      </c>
      <c r="B38" s="7" t="s">
        <v>146</v>
      </c>
      <c r="C38" s="7" t="s">
        <v>147</v>
      </c>
      <c r="F38" s="7" t="s">
        <v>148</v>
      </c>
      <c r="G38" s="7" t="s">
        <v>149</v>
      </c>
      <c r="H38" s="7" t="s">
        <v>150</v>
      </c>
    </row>
    <row r="39" spans="1:8">
      <c r="A39" s="7">
        <v>23</v>
      </c>
      <c r="B39" s="7" t="s">
        <v>151</v>
      </c>
      <c r="C39" s="7" t="s">
        <v>147</v>
      </c>
      <c r="F39" s="7" t="s">
        <v>148</v>
      </c>
      <c r="G39" s="7" t="s">
        <v>152</v>
      </c>
      <c r="H39" s="7" t="s">
        <v>153</v>
      </c>
    </row>
    <row r="40" spans="1:8">
      <c r="A40" s="7">
        <v>24</v>
      </c>
      <c r="B40" s="7" t="s">
        <v>154</v>
      </c>
      <c r="C40" s="7" t="s">
        <v>155</v>
      </c>
      <c r="F40" s="7" t="s">
        <v>122</v>
      </c>
      <c r="G40" s="7" t="s">
        <v>156</v>
      </c>
      <c r="H40" s="7" t="s">
        <v>157</v>
      </c>
    </row>
    <row r="41" spans="1:8">
      <c r="A41" s="7">
        <v>25</v>
      </c>
      <c r="B41" s="7" t="s">
        <v>158</v>
      </c>
      <c r="C41" s="7" t="s">
        <v>159</v>
      </c>
      <c r="F41" s="7" t="s">
        <v>148</v>
      </c>
      <c r="G41" s="7" t="s">
        <v>160</v>
      </c>
      <c r="H41" s="7" t="s">
        <v>161</v>
      </c>
    </row>
    <row r="42" spans="1:8">
      <c r="A42" s="7">
        <v>26</v>
      </c>
      <c r="B42" s="7" t="s">
        <v>162</v>
      </c>
      <c r="C42" s="7" t="s">
        <v>163</v>
      </c>
      <c r="F42" s="7" t="s">
        <v>127</v>
      </c>
      <c r="G42" s="7" t="s">
        <v>164</v>
      </c>
      <c r="H42" s="7" t="s">
        <v>165</v>
      </c>
    </row>
    <row r="43" spans="1:8">
      <c r="A43" s="7">
        <v>27</v>
      </c>
      <c r="B43" s="7" t="s">
        <v>166</v>
      </c>
      <c r="C43" s="7" t="s">
        <v>167</v>
      </c>
      <c r="F43" s="7" t="s">
        <v>127</v>
      </c>
      <c r="G43" s="7" t="s">
        <v>168</v>
      </c>
      <c r="H43" s="7" t="s">
        <v>169</v>
      </c>
    </row>
    <row r="44" spans="1:8">
      <c r="A44" s="7">
        <v>28</v>
      </c>
      <c r="B44" s="7" t="s">
        <v>170</v>
      </c>
      <c r="C44" s="7" t="s">
        <v>171</v>
      </c>
      <c r="F44" s="7" t="s">
        <v>172</v>
      </c>
      <c r="G44" s="7" t="s">
        <v>173</v>
      </c>
      <c r="H44" s="7" t="s">
        <v>174</v>
      </c>
    </row>
    <row r="45" spans="1:8">
      <c r="A45" s="7">
        <v>29</v>
      </c>
      <c r="B45" s="7" t="s">
        <v>85</v>
      </c>
      <c r="C45" s="7" t="s">
        <v>175</v>
      </c>
      <c r="F45" s="7" t="s">
        <v>176</v>
      </c>
      <c r="G45" s="7" t="s">
        <v>177</v>
      </c>
      <c r="H45" s="7" t="s">
        <v>178</v>
      </c>
    </row>
    <row r="46" spans="1:8">
      <c r="A46" s="7">
        <v>30</v>
      </c>
      <c r="B46" s="7" t="s">
        <v>85</v>
      </c>
      <c r="C46" s="7" t="s">
        <v>179</v>
      </c>
      <c r="F46" s="7" t="s">
        <v>180</v>
      </c>
      <c r="G46" s="7" t="s">
        <v>181</v>
      </c>
      <c r="H46" s="7" t="s">
        <v>182</v>
      </c>
    </row>
    <row r="47" spans="1:8" ht="17.100000000000001">
      <c r="A47" s="7">
        <v>31</v>
      </c>
      <c r="B47" s="7" t="s">
        <v>183</v>
      </c>
      <c r="C47" s="7" t="s">
        <v>184</v>
      </c>
      <c r="F47" s="19" t="s">
        <v>185</v>
      </c>
      <c r="G47" s="20" t="s">
        <v>186</v>
      </c>
      <c r="H47" s="19" t="s">
        <v>187</v>
      </c>
    </row>
    <row r="48" spans="1:8" ht="17.100000000000001">
      <c r="A48" s="1">
        <v>32</v>
      </c>
      <c r="B48" s="2" t="s">
        <v>188</v>
      </c>
      <c r="C48" s="22" t="s">
        <v>189</v>
      </c>
      <c r="F48" s="21" t="s">
        <v>190</v>
      </c>
      <c r="G48" s="21" t="s">
        <v>191</v>
      </c>
      <c r="H48" s="21" t="s">
        <v>192</v>
      </c>
    </row>
    <row r="49" spans="1:8" ht="17.100000000000001">
      <c r="A49" s="1">
        <v>33</v>
      </c>
      <c r="B49" s="3" t="s">
        <v>193</v>
      </c>
      <c r="C49" s="22" t="s">
        <v>194</v>
      </c>
      <c r="F49" s="21" t="s">
        <v>58</v>
      </c>
      <c r="G49" s="21" t="s">
        <v>195</v>
      </c>
      <c r="H49" s="21" t="s">
        <v>196</v>
      </c>
    </row>
    <row r="50" spans="1:8" ht="17.100000000000001">
      <c r="A50" s="1">
        <v>34</v>
      </c>
      <c r="B50" s="3" t="s">
        <v>197</v>
      </c>
      <c r="C50" s="22" t="s">
        <v>198</v>
      </c>
      <c r="F50" s="21" t="s">
        <v>190</v>
      </c>
      <c r="G50" s="21" t="s">
        <v>199</v>
      </c>
      <c r="H50" s="21" t="s">
        <v>200</v>
      </c>
    </row>
    <row r="51" spans="1:8" ht="17.100000000000001">
      <c r="A51" s="1">
        <v>35</v>
      </c>
      <c r="B51" s="3" t="s">
        <v>201</v>
      </c>
      <c r="C51" s="22" t="s">
        <v>202</v>
      </c>
      <c r="F51" s="21" t="s">
        <v>58</v>
      </c>
      <c r="G51" s="21" t="s">
        <v>203</v>
      </c>
      <c r="H51" s="21" t="s">
        <v>204</v>
      </c>
    </row>
    <row r="52" spans="1:8" ht="17.100000000000001">
      <c r="F52" s="20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Normal="100" workbookViewId="0">
      <selection sqref="A1:XFD1048576"/>
    </sheetView>
  </sheetViews>
  <sheetFormatPr defaultColWidth="8.85546875" defaultRowHeight="14.45"/>
  <cols>
    <col min="1" max="1" width="8" style="36" bestFit="1" customWidth="1"/>
    <col min="2" max="2" width="10.85546875" style="36" customWidth="1"/>
    <col min="3" max="3" width="10" style="36" bestFit="1" customWidth="1"/>
    <col min="4" max="4" width="39.5703125" style="36" bestFit="1" customWidth="1"/>
    <col min="5" max="5" width="67.7109375" style="36" customWidth="1"/>
    <col min="6" max="16384" width="8.85546875" style="36"/>
  </cols>
  <sheetData>
    <row r="1" spans="1:5">
      <c r="B1" s="37" t="s">
        <v>205</v>
      </c>
      <c r="C1" s="38" t="str">
        <f>+"http://10.11.62.82:28080/IRISIB/api/v1.0.0/party/"&amp;Spec!$C$1</f>
        <v>http://10.11.62.82:28080/IRISIB/api/v1.0.0/party/ED0019</v>
      </c>
      <c r="D1" s="37"/>
      <c r="E1" s="39"/>
    </row>
    <row r="2" spans="1:5">
      <c r="A2" s="39"/>
      <c r="B2" s="39" t="s">
        <v>206</v>
      </c>
      <c r="C2" s="38" t="str">
        <f>+"http://10.11.62.82:58080/IRISMB/api/v1.0.0/party/"&amp;Spec!$C$1</f>
        <v>http://10.11.62.82:58080/IRISMB/api/v1.0.0/party/ED0019</v>
      </c>
      <c r="D2" s="40"/>
      <c r="E2" s="39"/>
    </row>
    <row r="3" spans="1:5">
      <c r="B3" s="41" t="s">
        <v>207</v>
      </c>
      <c r="C3" s="42" t="s">
        <v>208</v>
      </c>
      <c r="D3" s="42" t="s">
        <v>209</v>
      </c>
      <c r="E3" s="43" t="s">
        <v>210</v>
      </c>
    </row>
    <row r="4" spans="1:5" ht="409.5" customHeight="1">
      <c r="B4" s="44" t="s">
        <v>211</v>
      </c>
      <c r="C4" s="44"/>
      <c r="D4" s="45" t="s">
        <v>212</v>
      </c>
      <c r="E4" s="46" t="s">
        <v>213</v>
      </c>
    </row>
    <row r="5" spans="1:5">
      <c r="B5" s="44"/>
      <c r="C5" s="44"/>
      <c r="D5" s="45"/>
      <c r="E5" s="46"/>
    </row>
  </sheetData>
  <phoneticPr fontId="2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E32100BAE5DCE4F9C155AAD97947D50" ma:contentTypeVersion="13" ma:contentTypeDescription="建立新的文件。" ma:contentTypeScope="" ma:versionID="78ddff13b25f1135ba815ed5b9eb3bed">
  <xsd:schema xmlns:xsd="http://www.w3.org/2001/XMLSchema" xmlns:xs="http://www.w3.org/2001/XMLSchema" xmlns:p="http://schemas.microsoft.com/office/2006/metadata/properties" xmlns:ns2="afffd9b5-d826-49dc-89e8-17bc93ffc849" xmlns:ns3="9b10d53a-0dcd-41b3-b6f6-4af11011f125" targetNamespace="http://schemas.microsoft.com/office/2006/metadata/properties" ma:root="true" ma:fieldsID="e54293016aa70b608b23266f983f9663" ns2:_="" ns3:_="">
    <xsd:import namespace="afffd9b5-d826-49dc-89e8-17bc93ffc849"/>
    <xsd:import namespace="9b10d53a-0dcd-41b3-b6f6-4af11011f1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fd9b5-d826-49dc-89e8-17bc93ffc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簽核狀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0d53a-0dcd-41b3-b6f6-4af11011f1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d3c831-f6d3-4136-9e4e-29eddc41c950}" ma:internalName="TaxCatchAll" ma:showField="CatchAllData" ma:web="9b10d53a-0dcd-41b3-b6f6-4af11011f1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fffd9b5-d826-49dc-89e8-17bc93ffc849" xsi:nil="true"/>
    <TaxCatchAll xmlns="9b10d53a-0dcd-41b3-b6f6-4af11011f125" xsi:nil="true"/>
    <lcf76f155ced4ddcb4097134ff3c332f xmlns="afffd9b5-d826-49dc-89e8-17bc93ffc84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D4BAF-12E7-416F-A717-BA6B502C9BA7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江芷螢Kelly Chiang-核心應用部-永豐銀行</cp:lastModifiedBy>
  <cp:revision/>
  <dcterms:created xsi:type="dcterms:W3CDTF">2020-03-13T10:54:50Z</dcterms:created>
  <dcterms:modified xsi:type="dcterms:W3CDTF">2026-03-30T03:42:47Z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0x0101004E32100BAE5DCE4F9C155AAD97947D50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  <property fmtid="{D5CDD505-2E9C-101B-9397-08002B2CF9AE}" pid="10" name="MediaServiceImageTags">
    <vt:lpwstr/>
  </property>
</Properties>
</file>